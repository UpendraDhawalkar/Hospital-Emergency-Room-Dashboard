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Data Analytics\excel dashboard\"/>
    </mc:Choice>
  </mc:AlternateContent>
  <xr:revisionPtr revIDLastSave="0" documentId="13_ncr:1_{832CE982-F827-49CA-8947-CF6ADBB2337E}" xr6:coauthVersionLast="47" xr6:coauthVersionMax="47" xr10:uidLastSave="{00000000-0000-0000-0000-000000000000}"/>
  <bookViews>
    <workbookView xWindow="-110" yWindow="-110" windowWidth="19420" windowHeight="11500" activeTab="1" xr2:uid="{0E888F24-2A13-4329-BDE2-5553A6123F05}"/>
  </bookViews>
  <sheets>
    <sheet name="Pivot Report" sheetId="1" r:id="rId1"/>
    <sheet name="Dashboard" sheetId="2" r:id="rId2"/>
    <sheet name="Daily ER No of Patient"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870" r:id="rId6"/>
    <pivotCache cacheId="873" r:id="rId7"/>
    <pivotCache cacheId="876" r:id="rId8"/>
    <pivotCache cacheId="879" r:id="rId9"/>
    <pivotCache cacheId="882" r:id="rId10"/>
    <pivotCache cacheId="885" r:id="rId11"/>
    <pivotCache cacheId="888" r:id="rId12"/>
    <pivotCache cacheId="891" r:id="rId13"/>
    <pivotCache cacheId="894" r:id="rId14"/>
    <pivotCache cacheId="897" r:id="rId15"/>
    <pivotCache cacheId="900" r:id="rId16"/>
    <pivotCache cacheId="903" r:id="rId17"/>
  </pivotCaches>
  <extLst>
    <ext xmlns:x14="http://schemas.microsoft.com/office/spreadsheetml/2009/9/main" uri="{876F7934-8845-4945-9796-88D515C7AA90}">
      <x14:pivotCaches>
        <pivotCache cacheId="56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fd4d928-90b2-44ae-a53e-7dddd20c3ce5" name="Hospital Emergency Room Data" connection="Query - Hospital Emergency Room Data"/>
          <x15:modelTable id="Calender_Table_63c47374-b069-445c-bf05-5068c39e813a"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9" i="1" l="1"/>
  <c r="C49" i="1"/>
  <c r="A49" i="1"/>
  <c r="B48" i="1"/>
  <c r="C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F1EAA7-AABB-4B73-949B-D2D210B33178}" name="Query - Calender_Table" description="Connection to the 'Calender_Table' query in the workbook." type="100" refreshedVersion="8" minRefreshableVersion="5">
    <extLst>
      <ext xmlns:x15="http://schemas.microsoft.com/office/spreadsheetml/2010/11/main" uri="{DE250136-89BD-433C-8126-D09CA5730AF9}">
        <x15:connection id="7318a9c4-96b9-46fe-9124-595cebd8be7c">
          <x15:oledbPr connection="Provider=Microsoft.Mashup.OleDb.1;Data Source=$Workbook$;Location=Calender_Table;Extended Properties=&quot;&quot;">
            <x15:dbTables>
              <x15:dbTable name="Calender_Table"/>
            </x15:dbTables>
          </x15:oledbPr>
        </x15:connection>
      </ext>
    </extLst>
  </connection>
  <connection id="2" xr16:uid="{5769B63A-031F-4413-AC75-471D5D2D698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d6b3ff1-5693-40ca-bf81-ed855918b004"/>
      </ext>
    </extLst>
  </connection>
  <connection id="3" xr16:uid="{3070BDD5-F9B0-42A7-82C6-35EC8E79C48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<sst xmlns="http://schemas.openxmlformats.org/spreadsheetml/2006/main" count="153" uniqueCount="72">
  <si>
    <t>Distinct Count of Patient Id</t>
  </si>
  <si>
    <t>No. of patient</t>
  </si>
  <si>
    <t>Row Labels</t>
  </si>
  <si>
    <t>Grand Total</t>
  </si>
  <si>
    <t>Average of Patient Waittime</t>
  </si>
  <si>
    <t>Average of Patient Satisfaction Score</t>
  </si>
  <si>
    <t>Daily trends of no of patient</t>
  </si>
  <si>
    <t>Average wait time</t>
  </si>
  <si>
    <t>satisfaction score daily trends</t>
  </si>
  <si>
    <t>Count of Patient attend Status</t>
  </si>
  <si>
    <t>Count of Patient Admission Flag</t>
  </si>
  <si>
    <t>Admitted</t>
  </si>
  <si>
    <t>Not Admitted</t>
  </si>
  <si>
    <t>Count of Patient Admission Flag2</t>
  </si>
  <si>
    <t>Admission Status</t>
  </si>
  <si>
    <t>%Status</t>
  </si>
  <si>
    <t>No of Patient</t>
  </si>
  <si>
    <t>0-9</t>
  </si>
  <si>
    <t>10-19</t>
  </si>
  <si>
    <t>20-29</t>
  </si>
  <si>
    <t>30-39</t>
  </si>
  <si>
    <t>40-49</t>
  </si>
  <si>
    <t>50-59</t>
  </si>
  <si>
    <t>60-69</t>
  </si>
  <si>
    <t>70-79</t>
  </si>
  <si>
    <t>Count of Age Group</t>
  </si>
  <si>
    <t>Ontime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</si>
  <si>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</si>
  <si>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</si>
  <si>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</si>
  <si>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</si>
  <si>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</si>
  <si>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</si>
  <si>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</si>
  <si>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</si>
  <si>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</si>
  <si>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</si>
  <si>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</si>
  <si>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</si>
  <si>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</si>
  <si>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2023</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</si>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</sst>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0" borderId="0" xfId="0" applyNumberFormat="1"/>
    <xf numFmtId="0" fontId="0" fillId="3" borderId="0" xfId="0" applyFill="1"/>
    <xf numFmtId="0" fontId="0" fillId="4" borderId="0" xfId="0" applyFill="1"/>
    <xf numFmtId="1" fontId="0" fillId="0" borderId="0" xfId="0" applyNumberFormat="1"/>
    <xf numFmtId="10" fontId="0" fillId="0" borderId="0" xfId="0" applyNumberFormat="1"/>
    <xf numFmtId="0" fontId="3" fillId="5" borderId="0" xfId="0" applyFont="1" applyFill="1"/>
    <xf numFmtId="0" fontId="2" fillId="5" borderId="0" xfId="0" applyFont="1" applyFill="1" applyAlignment="1">
      <alignment horizontal="center" vertical="center"/>
    </xf>
    <xf numFmtId="0" fontId="0" fillId="0" borderId="0" xfId="0" applyAlignment="1">
      <alignment horizontal="center" vertical="center"/>
    </xf>
    <xf numFmtId="9" fontId="0" fillId="0" borderId="0" xfId="1" applyFont="1" applyAlignment="1">
      <alignment horizontal="center" vertical="center"/>
    </xf>
  </cellXfs>
  <cellStyles count="2">
    <cellStyle name="Normal" xfId="0" builtinId="0"/>
    <cellStyle name="Percent" xfId="1" builtinId="5"/>
  </cellStyles>
  <dxfs count="174">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670F7C78-BEE3-4AA1-ABD0-8840DBEC0A4A}">
      <tableStyleElement type="wholeTable" dxfId="173"/>
      <tableStyleElement type="headerRow" dxfId="17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64030C7E-4A4B-4CD1-BB5F-D6825D90F835}" type="CELLRANGE">
                  <a:rPr lang="en-US"/>
                  <a:pPr>
                    <a:defRPr sz="8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B2774D0E-F1E9-4943-9F99-2DBFD8A93FF0}" type="CELLRANGE">
                  <a:rPr lang="en-US"/>
                  <a:pPr>
                    <a:defRPr sz="800"/>
                  </a:pPr>
                  <a:t>[CELLRANGE]</a:t>
                </a:fld>
                <a:endParaRPr lang="en-US"/>
              </a:p>
            </c:rich>
          </c:tx>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6.1772923545847088E-3"/>
          <c:y val="8.3333333333333329E-2"/>
          <c:w val="0.77873351152206893"/>
          <c:h val="0.54166666666666663"/>
        </c:manualLayout>
      </c:layout>
      <c:barChart>
        <c:barDir val="bar"/>
        <c:grouping val="clustered"/>
        <c:varyColors val="0"/>
        <c:ser>
          <c:idx val="0"/>
          <c:order val="0"/>
          <c:tx>
            <c:strRef>
              <c:f>'Pivot Report'!$C$41:$C$42</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Report'!$C$41:$C$42</c:f>
              <c:strCache>
                <c:ptCount val="2"/>
                <c:pt idx="0">
                  <c:v>Admitted</c:v>
                </c:pt>
                <c:pt idx="1">
                  <c:v>Not Admitted</c:v>
                </c:pt>
              </c:strCache>
            </c:strRef>
          </c:cat>
          <c:val>
            <c:numRef>
              <c:f>'Pivot Report'!$C$41:$C$42</c:f>
              <c:numCache>
                <c:formatCode>0</c:formatCode>
                <c:ptCount val="2"/>
                <c:pt idx="0">
                  <c:v>239</c:v>
                </c:pt>
                <c:pt idx="1">
                  <c:v>254</c:v>
                </c:pt>
              </c:numCache>
            </c:numRef>
          </c:val>
          <c:extLst>
            <c:ext xmlns:c16="http://schemas.microsoft.com/office/drawing/2014/chart" uri="{C3380CC4-5D6E-409C-BE32-E72D297353CC}">
              <c16:uniqueId val="{00000005-658C-4A03-AE83-572151A17ABE}"/>
            </c:ext>
          </c:extLst>
        </c:ser>
        <c:ser>
          <c:idx val="1"/>
          <c:order val="1"/>
          <c:tx>
            <c:strRef>
              <c:f>'Pivot Report'!$C$41:$C$42</c:f>
              <c:strCache>
                <c:ptCount val="1"/>
                <c:pt idx="0">
                  <c:v>Count of Patient Admission Flag2</c:v>
                </c:pt>
              </c:strCache>
            </c:strRef>
          </c:tx>
          <c:spPr>
            <a:solidFill>
              <a:schemeClr val="accent2"/>
            </a:solidFill>
            <a:ln>
              <a:noFill/>
            </a:ln>
            <a:effectLst/>
          </c:spPr>
          <c:invertIfNegative val="0"/>
          <c:cat>
            <c:strRef>
              <c:f>'Pivot Report'!$C$41:$C$42</c:f>
              <c:strCache>
                <c:ptCount val="2"/>
                <c:pt idx="0">
                  <c:v>Admitted</c:v>
                </c:pt>
                <c:pt idx="1">
                  <c:v>Not Admitted</c:v>
                </c:pt>
              </c:strCache>
            </c:strRef>
          </c:cat>
          <c:val>
            <c:numRef>
              <c:f>'Pivot Report'!$C$41:$C$42</c:f>
              <c:numCache>
                <c:formatCode>0.00%</c:formatCode>
                <c:ptCount val="2"/>
                <c:pt idx="0">
                  <c:v>0.48478701825557807</c:v>
                </c:pt>
                <c:pt idx="1">
                  <c:v>0.51521298174442187</c:v>
                </c:pt>
              </c:numCache>
            </c:numRef>
          </c:val>
          <c:extLst>
            <c:ext xmlns:c16="http://schemas.microsoft.com/office/drawing/2014/chart" uri="{C3380CC4-5D6E-409C-BE32-E72D297353CC}">
              <c16:uniqueId val="{00000006-658C-4A03-AE83-572151A17ABE}"/>
            </c:ext>
          </c:extLst>
        </c:ser>
        <c:dLbls>
          <c:showLegendKey val="0"/>
          <c:showVal val="0"/>
          <c:showCatName val="0"/>
          <c:showSerName val="0"/>
          <c:showPercent val="0"/>
          <c:showBubbleSize val="0"/>
        </c:dLbls>
        <c:gapWidth val="0"/>
        <c:axId val="1605440719"/>
        <c:axId val="1605444559"/>
      </c:barChart>
      <c:catAx>
        <c:axId val="1605440719"/>
        <c:scaling>
          <c:orientation val="minMax"/>
        </c:scaling>
        <c:delete val="1"/>
        <c:axPos val="l"/>
        <c:numFmt formatCode="General" sourceLinked="1"/>
        <c:majorTickMark val="none"/>
        <c:minorTickMark val="none"/>
        <c:tickLblPos val="nextTo"/>
        <c:crossAx val="1605444559"/>
        <c:crosses val="autoZero"/>
        <c:auto val="1"/>
        <c:lblAlgn val="ctr"/>
        <c:lblOffset val="100"/>
        <c:noMultiLvlLbl val="0"/>
      </c:catAx>
      <c:valAx>
        <c:axId val="1605444559"/>
        <c:scaling>
          <c:orientation val="minMax"/>
        </c:scaling>
        <c:delete val="1"/>
        <c:axPos val="b"/>
        <c:numFmt formatCode="0" sourceLinked="1"/>
        <c:majorTickMark val="none"/>
        <c:minorTickMark val="none"/>
        <c:tickLblPos val="nextTo"/>
        <c:crossAx val="160544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9"/>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4285714285714285"/>
          <c:w val="1"/>
          <c:h val="0.75714285714285712"/>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F94A-451B-A52B-FB5DE00CF431}"/>
            </c:ext>
          </c:extLst>
        </c:ser>
        <c:dLbls>
          <c:showLegendKey val="0"/>
          <c:showVal val="0"/>
          <c:showCatName val="0"/>
          <c:showSerName val="0"/>
          <c:showPercent val="0"/>
          <c:showBubbleSize val="0"/>
        </c:dLbls>
        <c:axId val="1030015136"/>
        <c:axId val="1030003136"/>
      </c:areaChart>
      <c:catAx>
        <c:axId val="1030015136"/>
        <c:scaling>
          <c:orientation val="minMax"/>
        </c:scaling>
        <c:delete val="1"/>
        <c:axPos val="b"/>
        <c:numFmt formatCode="General" sourceLinked="1"/>
        <c:majorTickMark val="out"/>
        <c:minorTickMark val="none"/>
        <c:tickLblPos val="nextTo"/>
        <c:crossAx val="1030003136"/>
        <c:crosses val="autoZero"/>
        <c:auto val="1"/>
        <c:lblAlgn val="ctr"/>
        <c:lblOffset val="100"/>
        <c:noMultiLvlLbl val="0"/>
      </c:catAx>
      <c:valAx>
        <c:axId val="1030003136"/>
        <c:scaling>
          <c:orientation val="minMax"/>
        </c:scaling>
        <c:delete val="1"/>
        <c:axPos val="l"/>
        <c:numFmt formatCode="General" sourceLinked="1"/>
        <c:majorTickMark val="none"/>
        <c:minorTickMark val="none"/>
        <c:tickLblPos val="nextTo"/>
        <c:crossAx val="1030015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9126601821831097"/>
          <c:w val="1"/>
          <c:h val="0.60873398178168903"/>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Report'!$I$5:$I$36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1-CBAA-4CDE-A2AF-8678E6EFD055}"/>
            </c:ext>
          </c:extLst>
        </c:ser>
        <c:dLbls>
          <c:showLegendKey val="0"/>
          <c:showVal val="0"/>
          <c:showCatName val="0"/>
          <c:showSerName val="0"/>
          <c:showPercent val="0"/>
          <c:showBubbleSize val="0"/>
        </c:dLbls>
        <c:axId val="1524108847"/>
        <c:axId val="1524108367"/>
      </c:areaChart>
      <c:catAx>
        <c:axId val="1524108847"/>
        <c:scaling>
          <c:orientation val="minMax"/>
        </c:scaling>
        <c:delete val="1"/>
        <c:axPos val="b"/>
        <c:numFmt formatCode="General" sourceLinked="1"/>
        <c:majorTickMark val="out"/>
        <c:minorTickMark val="none"/>
        <c:tickLblPos val="nextTo"/>
        <c:crossAx val="1524108367"/>
        <c:crosses val="autoZero"/>
        <c:auto val="1"/>
        <c:lblAlgn val="ctr"/>
        <c:lblOffset val="100"/>
        <c:noMultiLvlLbl val="0"/>
      </c:catAx>
      <c:valAx>
        <c:axId val="1524108367"/>
        <c:scaling>
          <c:orientation val="minMax"/>
        </c:scaling>
        <c:delete val="1"/>
        <c:axPos val="l"/>
        <c:numFmt formatCode="0.00" sourceLinked="1"/>
        <c:majorTickMark val="none"/>
        <c:minorTickMark val="none"/>
        <c:tickLblPos val="nextTo"/>
        <c:crossAx val="1524108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495265623442635"/>
          <c:w val="1"/>
          <c:h val="0.82504734376557365"/>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Report'!$L$5:$L$36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1-1C65-4C1C-90CA-DA3DACDA2CE5}"/>
            </c:ext>
          </c:extLst>
        </c:ser>
        <c:dLbls>
          <c:showLegendKey val="0"/>
          <c:showVal val="0"/>
          <c:showCatName val="0"/>
          <c:showSerName val="0"/>
          <c:showPercent val="0"/>
          <c:showBubbleSize val="0"/>
        </c:dLbls>
        <c:axId val="780025327"/>
        <c:axId val="780024847"/>
      </c:areaChart>
      <c:catAx>
        <c:axId val="780025327"/>
        <c:scaling>
          <c:orientation val="minMax"/>
        </c:scaling>
        <c:delete val="1"/>
        <c:axPos val="b"/>
        <c:numFmt formatCode="General" sourceLinked="1"/>
        <c:majorTickMark val="out"/>
        <c:minorTickMark val="none"/>
        <c:tickLblPos val="nextTo"/>
        <c:crossAx val="780024847"/>
        <c:crosses val="autoZero"/>
        <c:auto val="1"/>
        <c:lblAlgn val="ctr"/>
        <c:lblOffset val="100"/>
        <c:noMultiLvlLbl val="0"/>
      </c:catAx>
      <c:valAx>
        <c:axId val="780024847"/>
        <c:scaling>
          <c:orientation val="minMax"/>
        </c:scaling>
        <c:delete val="1"/>
        <c:axPos val="l"/>
        <c:numFmt formatCode="0.00" sourceLinked="1"/>
        <c:majorTickMark val="none"/>
        <c:minorTickMark val="none"/>
        <c:tickLblPos val="nextTo"/>
        <c:crossAx val="7800253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91304347826088E-2"/>
          <c:y val="9.166666666666666E-2"/>
          <c:w val="0.94021739130434778"/>
          <c:h val="0.63168110236220476"/>
        </c:manualLayout>
      </c:layout>
      <c:barChart>
        <c:barDir val="col"/>
        <c:grouping val="clustered"/>
        <c:varyColors val="0"/>
        <c:ser>
          <c:idx val="0"/>
          <c:order val="0"/>
          <c:tx>
            <c:strRef>
              <c:f>'Pivot Report'!$B$52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Report'!$A$53:$A$61</c:f>
              <c:strCache>
                <c:ptCount val="8"/>
                <c:pt idx="0">
                  <c:v>0-9</c:v>
                </c:pt>
                <c:pt idx="1">
                  <c:v>10-19</c:v>
                </c:pt>
                <c:pt idx="2">
                  <c:v>20-29</c:v>
                </c:pt>
                <c:pt idx="3">
                  <c:v>30-39</c:v>
                </c:pt>
                <c:pt idx="4">
                  <c:v>40-49</c:v>
                </c:pt>
                <c:pt idx="5">
                  <c:v>50-59</c:v>
                </c:pt>
                <c:pt idx="6">
                  <c:v>60-69</c:v>
                </c:pt>
                <c:pt idx="7">
                  <c:v>70-79</c:v>
                </c:pt>
              </c:strCache>
            </c:strRef>
          </c:cat>
          <c:val>
            <c:numRef>
              <c:f>'Pivot Report'!$B$53:$B$61</c:f>
              <c:numCache>
                <c:formatCode>0</c:formatCode>
                <c:ptCount val="8"/>
                <c:pt idx="0">
                  <c:v>47</c:v>
                </c:pt>
                <c:pt idx="1">
                  <c:v>67</c:v>
                </c:pt>
                <c:pt idx="2">
                  <c:v>63</c:v>
                </c:pt>
                <c:pt idx="3">
                  <c:v>55</c:v>
                </c:pt>
                <c:pt idx="4">
                  <c:v>65</c:v>
                </c:pt>
                <c:pt idx="5">
                  <c:v>66</c:v>
                </c:pt>
                <c:pt idx="6">
                  <c:v>60</c:v>
                </c:pt>
                <c:pt idx="7">
                  <c:v>70</c:v>
                </c:pt>
              </c:numCache>
            </c:numRef>
          </c:val>
          <c:extLst>
            <c:ext xmlns:c16="http://schemas.microsoft.com/office/drawing/2014/chart" uri="{C3380CC4-5D6E-409C-BE32-E72D297353CC}">
              <c16:uniqueId val="{00000001-FF69-439F-B225-D27D6B2ED1F8}"/>
            </c:ext>
          </c:extLst>
        </c:ser>
        <c:dLbls>
          <c:showLegendKey val="0"/>
          <c:showVal val="0"/>
          <c:showCatName val="0"/>
          <c:showSerName val="0"/>
          <c:showPercent val="0"/>
          <c:showBubbleSize val="0"/>
        </c:dLbls>
        <c:gapWidth val="219"/>
        <c:overlap val="-27"/>
        <c:axId val="1632016399"/>
        <c:axId val="627858239"/>
      </c:barChart>
      <c:catAx>
        <c:axId val="163201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858239"/>
        <c:crosses val="autoZero"/>
        <c:auto val="1"/>
        <c:lblAlgn val="ctr"/>
        <c:lblOffset val="100"/>
        <c:noMultiLvlLbl val="0"/>
      </c:catAx>
      <c:valAx>
        <c:axId val="627858239"/>
        <c:scaling>
          <c:orientation val="minMax"/>
        </c:scaling>
        <c:delete val="1"/>
        <c:axPos val="l"/>
        <c:numFmt formatCode="0" sourceLinked="1"/>
        <c:majorTickMark val="none"/>
        <c:minorTickMark val="none"/>
        <c:tickLblPos val="nextTo"/>
        <c:crossAx val="163201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Report!PivotTable11</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2"/>
          </a:solidFill>
          <a:ln>
            <a:noFill/>
          </a:ln>
          <a:effectLst/>
        </c:spPr>
      </c:pivotFmt>
    </c:pivotFmts>
    <c:plotArea>
      <c:layout>
        <c:manualLayout>
          <c:layoutTarget val="inner"/>
          <c:xMode val="edge"/>
          <c:yMode val="edge"/>
          <c:x val="0.16751269035532995"/>
          <c:y val="0.20740927764464223"/>
          <c:w val="0.63793596866381552"/>
          <c:h val="0.68300753166723727"/>
        </c:manualLayout>
      </c:layout>
      <c:pieChart>
        <c:varyColors val="1"/>
        <c:ser>
          <c:idx val="0"/>
          <c:order val="0"/>
          <c:tx>
            <c:strRef>
              <c:f>'Pivot Report'!$E$52</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Report'!$D$53:$D$55</c:f>
              <c:strCache>
                <c:ptCount val="2"/>
                <c:pt idx="0">
                  <c:v>Delay</c:v>
                </c:pt>
                <c:pt idx="1">
                  <c:v>Ontime</c:v>
                </c:pt>
              </c:strCache>
            </c:strRef>
          </c:cat>
          <c:val>
            <c:numRef>
              <c:f>'Pivot Report'!$E$53:$E$55</c:f>
              <c:numCache>
                <c:formatCode>0</c:formatCode>
                <c:ptCount val="2"/>
                <c:pt idx="0">
                  <c:v>281</c:v>
                </c:pt>
                <c:pt idx="1">
                  <c:v>212</c:v>
                </c:pt>
              </c:numCache>
            </c:numRef>
          </c:val>
          <c:extLst>
            <c:ext xmlns:c16="http://schemas.microsoft.com/office/drawing/2014/chart" uri="{C3380CC4-5D6E-409C-BE32-E72D297353CC}">
              <c16:uniqueId val="{00000005-A61E-4F3C-A519-DE90599DD8B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3692074023741957"/>
          <c:y val="1.3159020883259157E-2"/>
          <c:w val="0.48896758463567691"/>
          <c:h val="0.1410731158605174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Report!PivotTable12</c:name>
    <c:fmtId val="3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309962341663816"/>
          <c:y val="0.22695290447184663"/>
          <c:w val="0.66068401232454643"/>
          <c:h val="0.71677982469172485"/>
        </c:manualLayout>
      </c:layout>
      <c:doughnutChart>
        <c:varyColors val="1"/>
        <c:ser>
          <c:idx val="0"/>
          <c:order val="0"/>
          <c:tx>
            <c:strRef>
              <c:f>'Pivot Report'!$E$58</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Report'!$D$59:$D$61</c:f>
              <c:strCache>
                <c:ptCount val="2"/>
                <c:pt idx="0">
                  <c:v>Female</c:v>
                </c:pt>
                <c:pt idx="1">
                  <c:v>Male</c:v>
                </c:pt>
              </c:strCache>
            </c:strRef>
          </c:cat>
          <c:val>
            <c:numRef>
              <c:f>'Pivot Report'!$E$59:$E$61</c:f>
              <c:numCache>
                <c:formatCode>0.00</c:formatCode>
                <c:ptCount val="2"/>
                <c:pt idx="0">
                  <c:v>248</c:v>
                </c:pt>
                <c:pt idx="1">
                  <c:v>245</c:v>
                </c:pt>
              </c:numCache>
            </c:numRef>
          </c:val>
          <c:extLst>
            <c:ext xmlns:c16="http://schemas.microsoft.com/office/drawing/2014/chart" uri="{C3380CC4-5D6E-409C-BE32-E72D297353CC}">
              <c16:uniqueId val="{00000005-A51A-4E79-8663-A8EC39E374A4}"/>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0.16147826086956524"/>
          <c:y val="1.0612093299658294E-2"/>
          <c:w val="0.61496400105950055"/>
          <c:h val="0.1863229832120041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22947498012261"/>
          <c:y val="6.8111455108359129E-2"/>
          <c:w val="0.72322655107850931"/>
          <c:h val="0.86377708978328172"/>
        </c:manualLayout>
      </c:layout>
      <c:barChart>
        <c:barDir val="bar"/>
        <c:grouping val="clustered"/>
        <c:varyColors val="0"/>
        <c:ser>
          <c:idx val="0"/>
          <c:order val="0"/>
          <c:tx>
            <c:strRef>
              <c:f>'Pivot Report'!$H$52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Report'!$G$53:$G$61</c:f>
              <c:strCache>
                <c:ptCount val="8"/>
                <c:pt idx="0">
                  <c:v>Gastroenterology</c:v>
                </c:pt>
                <c:pt idx="1">
                  <c:v>Renal</c:v>
                </c:pt>
                <c:pt idx="2">
                  <c:v>Cardiology</c:v>
                </c:pt>
                <c:pt idx="3">
                  <c:v>Neurology</c:v>
                </c:pt>
                <c:pt idx="4">
                  <c:v>Physiotherapy</c:v>
                </c:pt>
                <c:pt idx="5">
                  <c:v>Orthopedics</c:v>
                </c:pt>
                <c:pt idx="6">
                  <c:v>General Practice</c:v>
                </c:pt>
                <c:pt idx="7">
                  <c:v>None</c:v>
                </c:pt>
              </c:strCache>
            </c:strRef>
          </c:cat>
          <c:val>
            <c:numRef>
              <c:f>'Pivot Report'!$H$53:$H$61</c:f>
              <c:numCache>
                <c:formatCode>0</c:formatCode>
                <c:ptCount val="8"/>
                <c:pt idx="0">
                  <c:v>9</c:v>
                </c:pt>
                <c:pt idx="1">
                  <c:v>9</c:v>
                </c:pt>
                <c:pt idx="2">
                  <c:v>10</c:v>
                </c:pt>
                <c:pt idx="3">
                  <c:v>11</c:v>
                </c:pt>
                <c:pt idx="4">
                  <c:v>15</c:v>
                </c:pt>
                <c:pt idx="5">
                  <c:v>61</c:v>
                </c:pt>
                <c:pt idx="6">
                  <c:v>96</c:v>
                </c:pt>
                <c:pt idx="7">
                  <c:v>282</c:v>
                </c:pt>
              </c:numCache>
            </c:numRef>
          </c:val>
          <c:extLst>
            <c:ext xmlns:c16="http://schemas.microsoft.com/office/drawing/2014/chart" uri="{C3380CC4-5D6E-409C-BE32-E72D297353CC}">
              <c16:uniqueId val="{00000001-4CCA-409A-8504-950E545E1A30}"/>
            </c:ext>
          </c:extLst>
        </c:ser>
        <c:dLbls>
          <c:showLegendKey val="0"/>
          <c:showVal val="0"/>
          <c:showCatName val="0"/>
          <c:showSerName val="0"/>
          <c:showPercent val="0"/>
          <c:showBubbleSize val="0"/>
        </c:dLbls>
        <c:gapWidth val="130"/>
        <c:axId val="627989359"/>
        <c:axId val="627993679"/>
      </c:barChart>
      <c:catAx>
        <c:axId val="627989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7993679"/>
        <c:crosses val="autoZero"/>
        <c:auto val="1"/>
        <c:lblAlgn val="ctr"/>
        <c:lblOffset val="100"/>
        <c:noMultiLvlLbl val="0"/>
      </c:catAx>
      <c:valAx>
        <c:axId val="627993679"/>
        <c:scaling>
          <c:orientation val="minMax"/>
        </c:scaling>
        <c:delete val="1"/>
        <c:axPos val="b"/>
        <c:numFmt formatCode="0" sourceLinked="1"/>
        <c:majorTickMark val="none"/>
        <c:minorTickMark val="none"/>
        <c:tickLblPos val="nextTo"/>
        <c:crossAx val="627989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Report!PivotTable7</c:name>
    <c:fmtId val="12"/>
  </c:pivotSource>
  <c:chart>
    <c:autoTitleDeleted val="1"/>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45891817870592E-2"/>
          <c:y val="5.5161678978690259E-2"/>
          <c:w val="0.94624046437402454"/>
          <c:h val="0.87201328968345726"/>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Report'!$E$5:$E$36</c:f>
              <c:numCache>
                <c:formatCode>General</c:formatCode>
                <c:ptCount val="31"/>
                <c:pt idx="0">
                  <c:v>15</c:v>
                </c:pt>
                <c:pt idx="1">
                  <c:v>14</c:v>
                </c:pt>
                <c:pt idx="2">
                  <c:v>15</c:v>
                </c:pt>
                <c:pt idx="3">
                  <c:v>18</c:v>
                </c:pt>
                <c:pt idx="4">
                  <c:v>19</c:v>
                </c:pt>
                <c:pt idx="5">
                  <c:v>15</c:v>
                </c:pt>
                <c:pt idx="6">
                  <c:v>15</c:v>
                </c:pt>
                <c:pt idx="7">
                  <c:v>10</c:v>
                </c:pt>
                <c:pt idx="8">
                  <c:v>19</c:v>
                </c:pt>
                <c:pt idx="9">
                  <c:v>12</c:v>
                </c:pt>
                <c:pt idx="10">
                  <c:v>20</c:v>
                </c:pt>
                <c:pt idx="11">
                  <c:v>18</c:v>
                </c:pt>
                <c:pt idx="12">
                  <c:v>20</c:v>
                </c:pt>
                <c:pt idx="13">
                  <c:v>11</c:v>
                </c:pt>
                <c:pt idx="14">
                  <c:v>10</c:v>
                </c:pt>
                <c:pt idx="15">
                  <c:v>14</c:v>
                </c:pt>
                <c:pt idx="16">
                  <c:v>11</c:v>
                </c:pt>
                <c:pt idx="17">
                  <c:v>25</c:v>
                </c:pt>
                <c:pt idx="18">
                  <c:v>17</c:v>
                </c:pt>
                <c:pt idx="19">
                  <c:v>22</c:v>
                </c:pt>
                <c:pt idx="20">
                  <c:v>18</c:v>
                </c:pt>
                <c:pt idx="21">
                  <c:v>16</c:v>
                </c:pt>
                <c:pt idx="22">
                  <c:v>14</c:v>
                </c:pt>
                <c:pt idx="23">
                  <c:v>13</c:v>
                </c:pt>
                <c:pt idx="24">
                  <c:v>15</c:v>
                </c:pt>
                <c:pt idx="25">
                  <c:v>18</c:v>
                </c:pt>
                <c:pt idx="26">
                  <c:v>10</c:v>
                </c:pt>
                <c:pt idx="27">
                  <c:v>15</c:v>
                </c:pt>
                <c:pt idx="28">
                  <c:v>18</c:v>
                </c:pt>
                <c:pt idx="29">
                  <c:v>16</c:v>
                </c:pt>
                <c:pt idx="30">
                  <c:v>20</c:v>
                </c:pt>
              </c:numCache>
            </c:numRef>
          </c:val>
          <c:extLst>
            <c:ext xmlns:c16="http://schemas.microsoft.com/office/drawing/2014/chart" uri="{C3380CC4-5D6E-409C-BE32-E72D297353CC}">
              <c16:uniqueId val="{00000000-037B-4EA6-B51F-72359BDFDE9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0015136"/>
        <c:axId val="1030003136"/>
      </c:areaChart>
      <c:catAx>
        <c:axId val="10300151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crossAx val="1030003136"/>
        <c:crosses val="autoZero"/>
        <c:auto val="1"/>
        <c:lblAlgn val="ctr"/>
        <c:lblOffset val="100"/>
        <c:noMultiLvlLbl val="0"/>
      </c:catAx>
      <c:valAx>
        <c:axId val="1030003136"/>
        <c:scaling>
          <c:orientation val="minMax"/>
        </c:scaling>
        <c:delete val="1"/>
        <c:axPos val="l"/>
        <c:numFmt formatCode="General" sourceLinked="1"/>
        <c:majorTickMark val="out"/>
        <c:minorTickMark val="none"/>
        <c:tickLblPos val="nextTo"/>
        <c:crossAx val="1030015136"/>
        <c:crosses val="autoZero"/>
        <c:crossBetween val="midCat"/>
      </c:valAx>
      <c:spPr>
        <a:solidFill>
          <a:schemeClr val="tx1">
            <a:lumMod val="85000"/>
            <a:lumOff val="15000"/>
          </a:schemeClr>
        </a:solidFill>
        <a:ln>
          <a:solidFill>
            <a:schemeClr val="bg1"/>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Report!PivotTable4</c:name>
    <c:fmtId val="24"/>
  </c:pivotSource>
  <c:chart>
    <c:autoTitleDeleted val="1"/>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302436536815994E-2"/>
          <c:y val="0.1125984251968504"/>
          <c:w val="0.94100454449103255"/>
          <c:h val="0.82042442561978324"/>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Report'!$I$5:$I$36</c:f>
              <c:numCache>
                <c:formatCode>0.00</c:formatCode>
                <c:ptCount val="31"/>
                <c:pt idx="0">
                  <c:v>36.4</c:v>
                </c:pt>
                <c:pt idx="1">
                  <c:v>33.357142857142854</c:v>
                </c:pt>
                <c:pt idx="2">
                  <c:v>38.200000000000003</c:v>
                </c:pt>
                <c:pt idx="3">
                  <c:v>37.611111111111114</c:v>
                </c:pt>
                <c:pt idx="4">
                  <c:v>29.210526315789473</c:v>
                </c:pt>
                <c:pt idx="5">
                  <c:v>37.266666666666666</c:v>
                </c:pt>
                <c:pt idx="6">
                  <c:v>34.133333333333333</c:v>
                </c:pt>
                <c:pt idx="7">
                  <c:v>38.6</c:v>
                </c:pt>
                <c:pt idx="8">
                  <c:v>36.05263157894737</c:v>
                </c:pt>
                <c:pt idx="9">
                  <c:v>39.833333333333336</c:v>
                </c:pt>
                <c:pt idx="10">
                  <c:v>34.700000000000003</c:v>
                </c:pt>
                <c:pt idx="11">
                  <c:v>41.055555555555557</c:v>
                </c:pt>
                <c:pt idx="12">
                  <c:v>36.950000000000003</c:v>
                </c:pt>
                <c:pt idx="13">
                  <c:v>38.18181818181818</c:v>
                </c:pt>
                <c:pt idx="14">
                  <c:v>30.9</c:v>
                </c:pt>
                <c:pt idx="15">
                  <c:v>27.571428571428573</c:v>
                </c:pt>
                <c:pt idx="16">
                  <c:v>33.18181818181818</c:v>
                </c:pt>
                <c:pt idx="17">
                  <c:v>34.28</c:v>
                </c:pt>
                <c:pt idx="18">
                  <c:v>39.764705882352942</c:v>
                </c:pt>
                <c:pt idx="19">
                  <c:v>31.954545454545453</c:v>
                </c:pt>
                <c:pt idx="20">
                  <c:v>30.166666666666668</c:v>
                </c:pt>
                <c:pt idx="21">
                  <c:v>36.875</c:v>
                </c:pt>
                <c:pt idx="22">
                  <c:v>38.714285714285715</c:v>
                </c:pt>
                <c:pt idx="23">
                  <c:v>31.923076923076923</c:v>
                </c:pt>
                <c:pt idx="24">
                  <c:v>29.6</c:v>
                </c:pt>
                <c:pt idx="25">
                  <c:v>31.666666666666668</c:v>
                </c:pt>
                <c:pt idx="26">
                  <c:v>42.6</c:v>
                </c:pt>
                <c:pt idx="27">
                  <c:v>33.799999999999997</c:v>
                </c:pt>
                <c:pt idx="28">
                  <c:v>40.555555555555557</c:v>
                </c:pt>
                <c:pt idx="29">
                  <c:v>26.75</c:v>
                </c:pt>
                <c:pt idx="30">
                  <c:v>35.049999999999997</c:v>
                </c:pt>
              </c:numCache>
            </c:numRef>
          </c:val>
          <c:extLst>
            <c:ext xmlns:c16="http://schemas.microsoft.com/office/drawing/2014/chart" uri="{C3380CC4-5D6E-409C-BE32-E72D297353CC}">
              <c16:uniqueId val="{00000003-6B1E-4FF9-ADC8-CB621192042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24108847"/>
        <c:axId val="1524108367"/>
      </c:areaChart>
      <c:catAx>
        <c:axId val="152410884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crossAx val="1524108367"/>
        <c:crosses val="autoZero"/>
        <c:auto val="1"/>
        <c:lblAlgn val="ctr"/>
        <c:lblOffset val="100"/>
        <c:noMultiLvlLbl val="0"/>
      </c:catAx>
      <c:valAx>
        <c:axId val="1524108367"/>
        <c:scaling>
          <c:orientation val="minMax"/>
        </c:scaling>
        <c:delete val="1"/>
        <c:axPos val="l"/>
        <c:numFmt formatCode="0.00" sourceLinked="1"/>
        <c:majorTickMark val="out"/>
        <c:minorTickMark val="none"/>
        <c:tickLblPos val="nextTo"/>
        <c:crossAx val="1524108847"/>
        <c:crosses val="autoZero"/>
        <c:crossBetween val="midCat"/>
      </c:valAx>
      <c:spPr>
        <a:solidFill>
          <a:schemeClr val="tx1">
            <a:lumMod val="85000"/>
            <a:lumOff val="1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Report!PivotTable8</c:name>
    <c:fmtId val="4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12906910336949E-2"/>
          <c:y val="7.3408818403194104E-2"/>
          <c:w val="0.92908200601318891"/>
          <c:h val="0.8752827599846722"/>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Report'!$K$5:$K$36</c:f>
              <c:strCache>
                <c:ptCount val="31"/>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pt idx="30">
                  <c:v>31-Oct</c:v>
                </c:pt>
              </c:strCache>
            </c:strRef>
          </c:cat>
          <c:val>
            <c:numRef>
              <c:f>'Pivot Report'!$L$5:$L$36</c:f>
              <c:numCache>
                <c:formatCode>0.00</c:formatCode>
                <c:ptCount val="31"/>
                <c:pt idx="0">
                  <c:v>4.8</c:v>
                </c:pt>
                <c:pt idx="1">
                  <c:v>3.8</c:v>
                </c:pt>
                <c:pt idx="2">
                  <c:v>2.5</c:v>
                </c:pt>
                <c:pt idx="3">
                  <c:v>3.75</c:v>
                </c:pt>
                <c:pt idx="4">
                  <c:v>5.333333333333333</c:v>
                </c:pt>
                <c:pt idx="5">
                  <c:v>5.6</c:v>
                </c:pt>
                <c:pt idx="6">
                  <c:v>8.4</c:v>
                </c:pt>
                <c:pt idx="7">
                  <c:v>3</c:v>
                </c:pt>
                <c:pt idx="8">
                  <c:v>5</c:v>
                </c:pt>
                <c:pt idx="9">
                  <c:v>7</c:v>
                </c:pt>
                <c:pt idx="10">
                  <c:v>5.2857142857142856</c:v>
                </c:pt>
                <c:pt idx="11">
                  <c:v>3</c:v>
                </c:pt>
                <c:pt idx="12">
                  <c:v>4.5</c:v>
                </c:pt>
                <c:pt idx="13">
                  <c:v>6.25</c:v>
                </c:pt>
                <c:pt idx="14">
                  <c:v>5</c:v>
                </c:pt>
                <c:pt idx="15">
                  <c:v>6.8</c:v>
                </c:pt>
                <c:pt idx="16">
                  <c:v>5</c:v>
                </c:pt>
                <c:pt idx="17">
                  <c:v>4.7142857142857144</c:v>
                </c:pt>
                <c:pt idx="18">
                  <c:v>6.7142857142857144</c:v>
                </c:pt>
                <c:pt idx="19">
                  <c:v>1.5714285714285714</c:v>
                </c:pt>
                <c:pt idx="20">
                  <c:v>5.125</c:v>
                </c:pt>
                <c:pt idx="21">
                  <c:v>4.5</c:v>
                </c:pt>
                <c:pt idx="22">
                  <c:v>5.666666666666667</c:v>
                </c:pt>
                <c:pt idx="23">
                  <c:v>6.5</c:v>
                </c:pt>
                <c:pt idx="24">
                  <c:v>4.333333333333333</c:v>
                </c:pt>
                <c:pt idx="25">
                  <c:v>4</c:v>
                </c:pt>
                <c:pt idx="26">
                  <c:v>4.5</c:v>
                </c:pt>
                <c:pt idx="27">
                  <c:v>3.6666666666666665</c:v>
                </c:pt>
                <c:pt idx="28">
                  <c:v>3.2</c:v>
                </c:pt>
                <c:pt idx="29">
                  <c:v>2.6666666666666665</c:v>
                </c:pt>
                <c:pt idx="30">
                  <c:v>5</c:v>
                </c:pt>
              </c:numCache>
            </c:numRef>
          </c:val>
          <c:extLst>
            <c:ext xmlns:c16="http://schemas.microsoft.com/office/drawing/2014/chart" uri="{C3380CC4-5D6E-409C-BE32-E72D297353CC}">
              <c16:uniqueId val="{00000001-202D-4899-99AA-CD06EC68A08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0025327"/>
        <c:axId val="780024847"/>
      </c:areaChart>
      <c:catAx>
        <c:axId val="7800253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1" i="0" u="none" strike="noStrike" kern="1200" baseline="0">
                <a:solidFill>
                  <a:schemeClr val="lt1"/>
                </a:solidFill>
                <a:latin typeface="+mn-lt"/>
                <a:ea typeface="+mn-ea"/>
                <a:cs typeface="+mn-cs"/>
              </a:defRPr>
            </a:pPr>
            <a:endParaRPr lang="en-US"/>
          </a:p>
        </c:txPr>
        <c:crossAx val="780024847"/>
        <c:crosses val="autoZero"/>
        <c:auto val="1"/>
        <c:lblAlgn val="ctr"/>
        <c:lblOffset val="100"/>
        <c:noMultiLvlLbl val="0"/>
      </c:catAx>
      <c:valAx>
        <c:axId val="780024847"/>
        <c:scaling>
          <c:orientation val="minMax"/>
        </c:scaling>
        <c:delete val="1"/>
        <c:axPos val="l"/>
        <c:numFmt formatCode="0.00" sourceLinked="1"/>
        <c:majorTickMark val="out"/>
        <c:minorTickMark val="none"/>
        <c:tickLblPos val="nextTo"/>
        <c:crossAx val="780025327"/>
        <c:crosses val="autoZero"/>
        <c:crossBetween val="midCat"/>
      </c:valAx>
      <c:spPr>
        <a:solidFill>
          <a:schemeClr val="tx1">
            <a:lumMod val="85000"/>
            <a:lumOff val="1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image" Target="../media/image8.emf"/><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4.xml"/><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1990725</xdr:colOff>
      <xdr:row>46</xdr:row>
      <xdr:rowOff>95250</xdr:rowOff>
    </xdr:from>
    <xdr:to>
      <xdr:col>4</xdr:col>
      <xdr:colOff>184150</xdr:colOff>
      <xdr:row>49</xdr:row>
      <xdr:rowOff>152400</xdr:rowOff>
    </xdr:to>
    <xdr:graphicFrame macro="">
      <xdr:nvGraphicFramePr>
        <xdr:cNvPr id="6" name="Chart 5">
          <a:extLst>
            <a:ext uri="{FF2B5EF4-FFF2-40B4-BE49-F238E27FC236}">
              <a16:creationId xmlns:a16="http://schemas.microsoft.com/office/drawing/2014/main" id="{DE71803B-12C9-77B2-C64F-BCC95EB33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127000</xdr:colOff>
      <xdr:row>0</xdr:row>
      <xdr:rowOff>133350</xdr:rowOff>
    </xdr:from>
    <xdr:to>
      <xdr:col>7</xdr:col>
      <xdr:colOff>285750</xdr:colOff>
      <xdr:row>3</xdr:row>
      <xdr:rowOff>69850</xdr:rowOff>
    </xdr:to>
    <xdr:sp macro="" textlink="">
      <xdr:nvSpPr>
        <xdr:cNvPr id="2" name="Rectangle: Rounded Corners 1">
          <a:extLst>
            <a:ext uri="{FF2B5EF4-FFF2-40B4-BE49-F238E27FC236}">
              <a16:creationId xmlns:a16="http://schemas.microsoft.com/office/drawing/2014/main" id="{FA7088EF-9C73-82A9-6071-F308EAEA5682}"/>
            </a:ext>
          </a:extLst>
        </xdr:cNvPr>
        <xdr:cNvSpPr/>
      </xdr:nvSpPr>
      <xdr:spPr>
        <a:xfrm>
          <a:off x="127000" y="133350"/>
          <a:ext cx="4425950" cy="48895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361950</xdr:colOff>
      <xdr:row>0</xdr:row>
      <xdr:rowOff>139700</xdr:rowOff>
    </xdr:from>
    <xdr:to>
      <xdr:col>9</xdr:col>
      <xdr:colOff>400050</xdr:colOff>
      <xdr:row>3</xdr:row>
      <xdr:rowOff>95250</xdr:rowOff>
    </xdr:to>
    <xdr:sp macro="" textlink="">
      <xdr:nvSpPr>
        <xdr:cNvPr id="3" name="Rectangle: Rounded Corners 2">
          <a:extLst>
            <a:ext uri="{FF2B5EF4-FFF2-40B4-BE49-F238E27FC236}">
              <a16:creationId xmlns:a16="http://schemas.microsoft.com/office/drawing/2014/main" id="{F931E33C-2728-46D9-AE0C-FDB833A15198}"/>
            </a:ext>
          </a:extLst>
        </xdr:cNvPr>
        <xdr:cNvSpPr/>
      </xdr:nvSpPr>
      <xdr:spPr>
        <a:xfrm>
          <a:off x="4629150" y="139700"/>
          <a:ext cx="1257300" cy="5080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596900</xdr:colOff>
      <xdr:row>0</xdr:row>
      <xdr:rowOff>146050</xdr:rowOff>
    </xdr:from>
    <xdr:to>
      <xdr:col>13</xdr:col>
      <xdr:colOff>63500</xdr:colOff>
      <xdr:row>9</xdr:row>
      <xdr:rowOff>177800</xdr:rowOff>
    </xdr:to>
    <xdr:sp macro="" textlink="">
      <xdr:nvSpPr>
        <xdr:cNvPr id="4" name="Rectangle: Rounded Corners 3">
          <a:extLst>
            <a:ext uri="{FF2B5EF4-FFF2-40B4-BE49-F238E27FC236}">
              <a16:creationId xmlns:a16="http://schemas.microsoft.com/office/drawing/2014/main" id="{E448BAF1-EA6A-47F0-8812-25FB5F473E11}"/>
            </a:ext>
          </a:extLst>
        </xdr:cNvPr>
        <xdr:cNvSpPr/>
      </xdr:nvSpPr>
      <xdr:spPr>
        <a:xfrm>
          <a:off x="6083300" y="146050"/>
          <a:ext cx="1905000" cy="1689100"/>
        </a:xfrm>
        <a:prstGeom prst="roundRect">
          <a:avLst>
            <a:gd name="adj" fmla="val 426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177800</xdr:colOff>
      <xdr:row>0</xdr:row>
      <xdr:rowOff>139700</xdr:rowOff>
    </xdr:from>
    <xdr:to>
      <xdr:col>16</xdr:col>
      <xdr:colOff>279400</xdr:colOff>
      <xdr:row>9</xdr:row>
      <xdr:rowOff>171450</xdr:rowOff>
    </xdr:to>
    <xdr:sp macro="" textlink="">
      <xdr:nvSpPr>
        <xdr:cNvPr id="5" name="Rectangle: Rounded Corners 4">
          <a:extLst>
            <a:ext uri="{FF2B5EF4-FFF2-40B4-BE49-F238E27FC236}">
              <a16:creationId xmlns:a16="http://schemas.microsoft.com/office/drawing/2014/main" id="{FB8BB6C3-98C7-4A34-B12D-B01473B80C89}"/>
            </a:ext>
          </a:extLst>
        </xdr:cNvPr>
        <xdr:cNvSpPr/>
      </xdr:nvSpPr>
      <xdr:spPr>
        <a:xfrm>
          <a:off x="8102600" y="139700"/>
          <a:ext cx="1930400" cy="1689100"/>
        </a:xfrm>
        <a:prstGeom prst="roundRect">
          <a:avLst>
            <a:gd name="adj" fmla="val 125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95250</xdr:colOff>
      <xdr:row>4</xdr:row>
      <xdr:rowOff>6350</xdr:rowOff>
    </xdr:from>
    <xdr:to>
      <xdr:col>1</xdr:col>
      <xdr:colOff>520700</xdr:colOff>
      <xdr:row>22</xdr:row>
      <xdr:rowOff>158750</xdr:rowOff>
    </xdr:to>
    <xdr:sp macro="" textlink="">
      <xdr:nvSpPr>
        <xdr:cNvPr id="6" name="Rectangle: Rounded Corners 5">
          <a:extLst>
            <a:ext uri="{FF2B5EF4-FFF2-40B4-BE49-F238E27FC236}">
              <a16:creationId xmlns:a16="http://schemas.microsoft.com/office/drawing/2014/main" id="{F1331E38-FF4C-4267-B20C-E3148ACFD1EA}"/>
            </a:ext>
          </a:extLst>
        </xdr:cNvPr>
        <xdr:cNvSpPr/>
      </xdr:nvSpPr>
      <xdr:spPr>
        <a:xfrm>
          <a:off x="95250" y="742950"/>
          <a:ext cx="1035050" cy="3467100"/>
        </a:xfrm>
        <a:prstGeom prst="roundRect">
          <a:avLst>
            <a:gd name="adj" fmla="val 133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12700</xdr:colOff>
      <xdr:row>4</xdr:row>
      <xdr:rowOff>19050</xdr:rowOff>
    </xdr:from>
    <xdr:to>
      <xdr:col>4</xdr:col>
      <xdr:colOff>323850</xdr:colOff>
      <xdr:row>10</xdr:row>
      <xdr:rowOff>25400</xdr:rowOff>
    </xdr:to>
    <xdr:sp macro="" textlink="">
      <xdr:nvSpPr>
        <xdr:cNvPr id="7" name="Rectangle: Rounded Corners 6">
          <a:extLst>
            <a:ext uri="{FF2B5EF4-FFF2-40B4-BE49-F238E27FC236}">
              <a16:creationId xmlns:a16="http://schemas.microsoft.com/office/drawing/2014/main" id="{07BBAC20-65DE-4434-A7F5-1B6188C8C806}"/>
            </a:ext>
          </a:extLst>
        </xdr:cNvPr>
        <xdr:cNvSpPr/>
      </xdr:nvSpPr>
      <xdr:spPr>
        <a:xfrm>
          <a:off x="1231900" y="755650"/>
          <a:ext cx="1530350" cy="1111250"/>
        </a:xfrm>
        <a:prstGeom prst="roundRect">
          <a:avLst>
            <a:gd name="adj" fmla="val 409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406400</xdr:colOff>
      <xdr:row>4</xdr:row>
      <xdr:rowOff>38100</xdr:rowOff>
    </xdr:from>
    <xdr:to>
      <xdr:col>7</xdr:col>
      <xdr:colOff>88900</xdr:colOff>
      <xdr:row>10</xdr:row>
      <xdr:rowOff>44450</xdr:rowOff>
    </xdr:to>
    <xdr:sp macro="" textlink="">
      <xdr:nvSpPr>
        <xdr:cNvPr id="8" name="Rectangle: Rounded Corners 7">
          <a:extLst>
            <a:ext uri="{FF2B5EF4-FFF2-40B4-BE49-F238E27FC236}">
              <a16:creationId xmlns:a16="http://schemas.microsoft.com/office/drawing/2014/main" id="{5D9D5BB1-3091-421F-A7AB-828529FC1EA6}"/>
            </a:ext>
          </a:extLst>
        </xdr:cNvPr>
        <xdr:cNvSpPr/>
      </xdr:nvSpPr>
      <xdr:spPr>
        <a:xfrm>
          <a:off x="2844800" y="774700"/>
          <a:ext cx="1511300" cy="1111250"/>
        </a:xfrm>
        <a:prstGeom prst="roundRect">
          <a:avLst>
            <a:gd name="adj" fmla="val 238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171451</xdr:colOff>
      <xdr:row>4</xdr:row>
      <xdr:rowOff>19050</xdr:rowOff>
    </xdr:from>
    <xdr:to>
      <xdr:col>9</xdr:col>
      <xdr:colOff>438151</xdr:colOff>
      <xdr:row>10</xdr:row>
      <xdr:rowOff>25400</xdr:rowOff>
    </xdr:to>
    <xdr:sp macro="" textlink="">
      <xdr:nvSpPr>
        <xdr:cNvPr id="9" name="Rectangle: Rounded Corners 8">
          <a:extLst>
            <a:ext uri="{FF2B5EF4-FFF2-40B4-BE49-F238E27FC236}">
              <a16:creationId xmlns:a16="http://schemas.microsoft.com/office/drawing/2014/main" id="{725A3AC5-A6B9-1F3C-D24A-AAFE809B176B}"/>
            </a:ext>
          </a:extLst>
        </xdr:cNvPr>
        <xdr:cNvSpPr/>
      </xdr:nvSpPr>
      <xdr:spPr>
        <a:xfrm>
          <a:off x="4438651" y="755650"/>
          <a:ext cx="1485900" cy="1111250"/>
        </a:xfrm>
        <a:prstGeom prst="roundRect">
          <a:avLst>
            <a:gd name="adj" fmla="val 4096"/>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6350</xdr:colOff>
      <xdr:row>14</xdr:row>
      <xdr:rowOff>101600</xdr:rowOff>
    </xdr:from>
    <xdr:to>
      <xdr:col>9</xdr:col>
      <xdr:colOff>450850</xdr:colOff>
      <xdr:row>22</xdr:row>
      <xdr:rowOff>107950</xdr:rowOff>
    </xdr:to>
    <xdr:sp macro="" textlink="">
      <xdr:nvSpPr>
        <xdr:cNvPr id="12" name="Rectangle: Rounded Corners 11">
          <a:extLst>
            <a:ext uri="{FF2B5EF4-FFF2-40B4-BE49-F238E27FC236}">
              <a16:creationId xmlns:a16="http://schemas.microsoft.com/office/drawing/2014/main" id="{D4EB7585-9109-B4CC-9CA7-E88D07983746}"/>
            </a:ext>
          </a:extLst>
        </xdr:cNvPr>
        <xdr:cNvSpPr/>
      </xdr:nvSpPr>
      <xdr:spPr>
        <a:xfrm>
          <a:off x="1225550" y="2679700"/>
          <a:ext cx="4711700" cy="1479550"/>
        </a:xfrm>
        <a:prstGeom prst="roundRect">
          <a:avLst>
            <a:gd name="adj" fmla="val 356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577850</xdr:colOff>
      <xdr:row>10</xdr:row>
      <xdr:rowOff>82550</xdr:rowOff>
    </xdr:from>
    <xdr:to>
      <xdr:col>16</xdr:col>
      <xdr:colOff>317500</xdr:colOff>
      <xdr:row>22</xdr:row>
      <xdr:rowOff>165100</xdr:rowOff>
    </xdr:to>
    <xdr:sp macro="" textlink="">
      <xdr:nvSpPr>
        <xdr:cNvPr id="14" name="Rectangle: Rounded Corners 13">
          <a:extLst>
            <a:ext uri="{FF2B5EF4-FFF2-40B4-BE49-F238E27FC236}">
              <a16:creationId xmlns:a16="http://schemas.microsoft.com/office/drawing/2014/main" id="{4967E5AB-BE9E-4DC9-873F-2D59AB8CC71A}"/>
            </a:ext>
          </a:extLst>
        </xdr:cNvPr>
        <xdr:cNvSpPr/>
      </xdr:nvSpPr>
      <xdr:spPr>
        <a:xfrm>
          <a:off x="6064250" y="1924050"/>
          <a:ext cx="4006850" cy="2292350"/>
        </a:xfrm>
        <a:prstGeom prst="roundRect">
          <a:avLst>
            <a:gd name="adj" fmla="val 2540"/>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412750</xdr:colOff>
      <xdr:row>0</xdr:row>
      <xdr:rowOff>152400</xdr:rowOff>
    </xdr:from>
    <xdr:to>
      <xdr:col>6</xdr:col>
      <xdr:colOff>527050</xdr:colOff>
      <xdr:row>2</xdr:row>
      <xdr:rowOff>44450</xdr:rowOff>
    </xdr:to>
    <xdr:sp macro="" textlink="">
      <xdr:nvSpPr>
        <xdr:cNvPr id="15" name="TextBox 14">
          <a:extLst>
            <a:ext uri="{FF2B5EF4-FFF2-40B4-BE49-F238E27FC236}">
              <a16:creationId xmlns:a16="http://schemas.microsoft.com/office/drawing/2014/main" id="{7146B2BF-BC5B-7D18-3B5E-190B595A2A8D}"/>
            </a:ext>
          </a:extLst>
        </xdr:cNvPr>
        <xdr:cNvSpPr txBox="1"/>
      </xdr:nvSpPr>
      <xdr:spPr>
        <a:xfrm>
          <a:off x="1022350" y="152400"/>
          <a:ext cx="3162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a:t>Hospital Emergency Room Dashboard</a:t>
          </a:r>
        </a:p>
      </xdr:txBody>
    </xdr:sp>
    <xdr:clientData/>
  </xdr:twoCellAnchor>
  <xdr:twoCellAnchor editAs="oneCell">
    <xdr:from>
      <xdr:col>0</xdr:col>
      <xdr:colOff>234950</xdr:colOff>
      <xdr:row>0</xdr:row>
      <xdr:rowOff>107949</xdr:rowOff>
    </xdr:from>
    <xdr:to>
      <xdr:col>1</xdr:col>
      <xdr:colOff>292100</xdr:colOff>
      <xdr:row>3</xdr:row>
      <xdr:rowOff>116764</xdr:rowOff>
    </xdr:to>
    <xdr:pic>
      <xdr:nvPicPr>
        <xdr:cNvPr id="17" name="Picture 16">
          <a:extLst>
            <a:ext uri="{FF2B5EF4-FFF2-40B4-BE49-F238E27FC236}">
              <a16:creationId xmlns:a16="http://schemas.microsoft.com/office/drawing/2014/main" id="{D2D97869-4912-C7E4-27F7-DBD1AB012D9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97" r="18310"/>
        <a:stretch>
          <a:fillRect/>
        </a:stretch>
      </xdr:blipFill>
      <xdr:spPr>
        <a:xfrm>
          <a:off x="234950" y="107949"/>
          <a:ext cx="666750" cy="561265"/>
        </a:xfrm>
        <a:prstGeom prst="rect">
          <a:avLst/>
        </a:prstGeom>
      </xdr:spPr>
    </xdr:pic>
    <xdr:clientData/>
  </xdr:twoCellAnchor>
  <xdr:twoCellAnchor editAs="absolute">
    <xdr:from>
      <xdr:col>3</xdr:col>
      <xdr:colOff>311150</xdr:colOff>
      <xdr:row>2</xdr:row>
      <xdr:rowOff>25400</xdr:rowOff>
    </xdr:from>
    <xdr:to>
      <xdr:col>5</xdr:col>
      <xdr:colOff>203200</xdr:colOff>
      <xdr:row>3</xdr:row>
      <xdr:rowOff>44450</xdr:rowOff>
    </xdr:to>
    <xdr:sp macro="" textlink="">
      <xdr:nvSpPr>
        <xdr:cNvPr id="18" name="TextBox 17">
          <a:extLst>
            <a:ext uri="{FF2B5EF4-FFF2-40B4-BE49-F238E27FC236}">
              <a16:creationId xmlns:a16="http://schemas.microsoft.com/office/drawing/2014/main" id="{5B5D5633-D032-4BA0-A631-86ECE5C0A2FC}"/>
            </a:ext>
          </a:extLst>
        </xdr:cNvPr>
        <xdr:cNvSpPr txBox="1"/>
      </xdr:nvSpPr>
      <xdr:spPr>
        <a:xfrm>
          <a:off x="2139950" y="393700"/>
          <a:ext cx="111125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050"/>
            <a:t>Monthly</a:t>
          </a:r>
          <a:r>
            <a:rPr lang="en-US" sz="1050" baseline="0"/>
            <a:t> Report</a:t>
          </a:r>
          <a:endParaRPr lang="en-US" sz="1050"/>
        </a:p>
      </xdr:txBody>
    </xdr:sp>
    <xdr:clientData/>
  </xdr:twoCellAnchor>
  <xdr:twoCellAnchor editAs="absolute">
    <xdr:from>
      <xdr:col>2</xdr:col>
      <xdr:colOff>19050</xdr:colOff>
      <xdr:row>6</xdr:row>
      <xdr:rowOff>76200</xdr:rowOff>
    </xdr:from>
    <xdr:to>
      <xdr:col>4</xdr:col>
      <xdr:colOff>336550</xdr:colOff>
      <xdr:row>7</xdr:row>
      <xdr:rowOff>69850</xdr:rowOff>
    </xdr:to>
    <xdr:sp macro="" textlink="">
      <xdr:nvSpPr>
        <xdr:cNvPr id="21" name="TextBox 20">
          <a:extLst>
            <a:ext uri="{FF2B5EF4-FFF2-40B4-BE49-F238E27FC236}">
              <a16:creationId xmlns:a16="http://schemas.microsoft.com/office/drawing/2014/main" id="{1612F573-15CC-4DBC-9938-519BE87497EF}"/>
            </a:ext>
          </a:extLst>
        </xdr:cNvPr>
        <xdr:cNvSpPr txBox="1"/>
      </xdr:nvSpPr>
      <xdr:spPr>
        <a:xfrm>
          <a:off x="1238250" y="1181100"/>
          <a:ext cx="15367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No.</a:t>
          </a:r>
          <a:r>
            <a:rPr lang="en-US" sz="1200" b="1" baseline="0"/>
            <a:t> of Patient</a:t>
          </a:r>
          <a:endParaRPr lang="en-US" sz="1200" b="1"/>
        </a:p>
      </xdr:txBody>
    </xdr:sp>
    <xdr:clientData/>
  </xdr:twoCellAnchor>
  <xdr:twoCellAnchor editAs="absolute">
    <xdr:from>
      <xdr:col>1</xdr:col>
      <xdr:colOff>596900</xdr:colOff>
      <xdr:row>4</xdr:row>
      <xdr:rowOff>133350</xdr:rowOff>
    </xdr:from>
    <xdr:to>
      <xdr:col>4</xdr:col>
      <xdr:colOff>304800</xdr:colOff>
      <xdr:row>6</xdr:row>
      <xdr:rowOff>44450</xdr:rowOff>
    </xdr:to>
    <xdr:sp macro="" textlink="'Pivot Report'!A5">
      <xdr:nvSpPr>
        <xdr:cNvPr id="22" name="TextBox 21">
          <a:extLst>
            <a:ext uri="{FF2B5EF4-FFF2-40B4-BE49-F238E27FC236}">
              <a16:creationId xmlns:a16="http://schemas.microsoft.com/office/drawing/2014/main" id="{4A5D7EAC-905B-4058-A424-134D08F9D77A}"/>
            </a:ext>
          </a:extLst>
        </xdr:cNvPr>
        <xdr:cNvSpPr txBox="1"/>
      </xdr:nvSpPr>
      <xdr:spPr>
        <a:xfrm>
          <a:off x="1206500" y="869950"/>
          <a:ext cx="15367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EAA01C6-EB4D-49F5-A141-A1CDAD7A3816}" type="TxLink">
            <a:rPr lang="en-US" sz="1600" b="1" i="0" u="none" strike="noStrike">
              <a:solidFill>
                <a:srgbClr val="000000"/>
              </a:solidFill>
              <a:latin typeface="Calibri"/>
              <a:ea typeface="Calibri"/>
              <a:cs typeface="Calibri"/>
            </a:rPr>
            <a:pPr algn="ctr"/>
            <a:t>493</a:t>
          </a:fld>
          <a:endParaRPr lang="en-US" sz="1600" b="1"/>
        </a:p>
      </xdr:txBody>
    </xdr:sp>
    <xdr:clientData/>
  </xdr:twoCellAnchor>
  <xdr:twoCellAnchor editAs="absolute">
    <xdr:from>
      <xdr:col>4</xdr:col>
      <xdr:colOff>425450</xdr:colOff>
      <xdr:row>6</xdr:row>
      <xdr:rowOff>50800</xdr:rowOff>
    </xdr:from>
    <xdr:to>
      <xdr:col>7</xdr:col>
      <xdr:colOff>133350</xdr:colOff>
      <xdr:row>7</xdr:row>
      <xdr:rowOff>44450</xdr:rowOff>
    </xdr:to>
    <xdr:sp macro="" textlink="">
      <xdr:nvSpPr>
        <xdr:cNvPr id="23" name="TextBox 22">
          <a:extLst>
            <a:ext uri="{FF2B5EF4-FFF2-40B4-BE49-F238E27FC236}">
              <a16:creationId xmlns:a16="http://schemas.microsoft.com/office/drawing/2014/main" id="{D7BB630D-0F85-43B6-830D-7DB938495982}"/>
            </a:ext>
          </a:extLst>
        </xdr:cNvPr>
        <xdr:cNvSpPr txBox="1"/>
      </xdr:nvSpPr>
      <xdr:spPr>
        <a:xfrm>
          <a:off x="2863850" y="1155700"/>
          <a:ext cx="15367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Average</a:t>
          </a:r>
          <a:r>
            <a:rPr lang="en-US" sz="1200" b="1" baseline="0"/>
            <a:t> Wait Time</a:t>
          </a:r>
          <a:endParaRPr lang="en-US" sz="1200" b="1"/>
        </a:p>
      </xdr:txBody>
    </xdr:sp>
    <xdr:clientData/>
  </xdr:twoCellAnchor>
  <xdr:twoCellAnchor editAs="absolute">
    <xdr:from>
      <xdr:col>4</xdr:col>
      <xdr:colOff>304800</xdr:colOff>
      <xdr:row>4</xdr:row>
      <xdr:rowOff>114300</xdr:rowOff>
    </xdr:from>
    <xdr:to>
      <xdr:col>7</xdr:col>
      <xdr:colOff>12700</xdr:colOff>
      <xdr:row>6</xdr:row>
      <xdr:rowOff>6350</xdr:rowOff>
    </xdr:to>
    <xdr:sp macro="" textlink="'Pivot Report'!A9">
      <xdr:nvSpPr>
        <xdr:cNvPr id="24" name="TextBox 23">
          <a:extLst>
            <a:ext uri="{FF2B5EF4-FFF2-40B4-BE49-F238E27FC236}">
              <a16:creationId xmlns:a16="http://schemas.microsoft.com/office/drawing/2014/main" id="{A89CB36C-8B15-4191-A02F-35D7A4C34760}"/>
            </a:ext>
          </a:extLst>
        </xdr:cNvPr>
        <xdr:cNvSpPr txBox="1"/>
      </xdr:nvSpPr>
      <xdr:spPr>
        <a:xfrm>
          <a:off x="2743200" y="850900"/>
          <a:ext cx="15367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E4E5AA9-69D8-4AB5-9BA5-C1B20D03CC97}" type="TxLink">
            <a:rPr lang="en-US" sz="1600" b="1" i="0" u="none" strike="noStrike">
              <a:solidFill>
                <a:srgbClr val="000000"/>
              </a:solidFill>
              <a:latin typeface="Calibri"/>
              <a:ea typeface="Calibri"/>
              <a:cs typeface="Calibri"/>
            </a:rPr>
            <a:pPr algn="ctr"/>
            <a:t>34.93</a:t>
          </a:fld>
          <a:endParaRPr lang="en-US" sz="1600" b="1"/>
        </a:p>
      </xdr:txBody>
    </xdr:sp>
    <xdr:clientData/>
  </xdr:twoCellAnchor>
  <xdr:twoCellAnchor editAs="absolute">
    <xdr:from>
      <xdr:col>7</xdr:col>
      <xdr:colOff>152400</xdr:colOff>
      <xdr:row>6</xdr:row>
      <xdr:rowOff>6350</xdr:rowOff>
    </xdr:from>
    <xdr:to>
      <xdr:col>9</xdr:col>
      <xdr:colOff>419100</xdr:colOff>
      <xdr:row>8</xdr:row>
      <xdr:rowOff>25400</xdr:rowOff>
    </xdr:to>
    <xdr:sp macro="" textlink="">
      <xdr:nvSpPr>
        <xdr:cNvPr id="25" name="TextBox 24">
          <a:extLst>
            <a:ext uri="{FF2B5EF4-FFF2-40B4-BE49-F238E27FC236}">
              <a16:creationId xmlns:a16="http://schemas.microsoft.com/office/drawing/2014/main" id="{F29D38D7-4521-41AF-A0C2-D9A0806AEC29}"/>
            </a:ext>
          </a:extLst>
        </xdr:cNvPr>
        <xdr:cNvSpPr txBox="1"/>
      </xdr:nvSpPr>
      <xdr:spPr>
        <a:xfrm>
          <a:off x="4419600" y="1111250"/>
          <a:ext cx="148590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Patient Satisfaction</a:t>
          </a:r>
          <a:r>
            <a:rPr lang="en-US" sz="1200" b="1" baseline="0"/>
            <a:t> </a:t>
          </a:r>
        </a:p>
        <a:p>
          <a:pPr algn="ctr"/>
          <a:r>
            <a:rPr lang="en-US" sz="1200" b="1" baseline="0"/>
            <a:t>Score</a:t>
          </a:r>
          <a:endParaRPr lang="en-US" sz="1200" b="1"/>
        </a:p>
      </xdr:txBody>
    </xdr:sp>
    <xdr:clientData/>
  </xdr:twoCellAnchor>
  <xdr:twoCellAnchor editAs="absolute">
    <xdr:from>
      <xdr:col>7</xdr:col>
      <xdr:colOff>69850</xdr:colOff>
      <xdr:row>4</xdr:row>
      <xdr:rowOff>107950</xdr:rowOff>
    </xdr:from>
    <xdr:to>
      <xdr:col>9</xdr:col>
      <xdr:colOff>387350</xdr:colOff>
      <xdr:row>6</xdr:row>
      <xdr:rowOff>6350</xdr:rowOff>
    </xdr:to>
    <xdr:sp macro="" textlink="'Pivot Report'!A12">
      <xdr:nvSpPr>
        <xdr:cNvPr id="26" name="TextBox 25">
          <a:extLst>
            <a:ext uri="{FF2B5EF4-FFF2-40B4-BE49-F238E27FC236}">
              <a16:creationId xmlns:a16="http://schemas.microsoft.com/office/drawing/2014/main" id="{D24D27FE-4201-4CC7-AF17-7886505A6055}"/>
            </a:ext>
          </a:extLst>
        </xdr:cNvPr>
        <xdr:cNvSpPr txBox="1"/>
      </xdr:nvSpPr>
      <xdr:spPr>
        <a:xfrm>
          <a:off x="4337050" y="844550"/>
          <a:ext cx="1536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C72130A-1297-494C-9A5F-3454452E23FF}" type="TxLink">
            <a:rPr lang="en-US" sz="1600" b="1" i="0" u="none" strike="noStrike">
              <a:solidFill>
                <a:srgbClr val="000000"/>
              </a:solidFill>
              <a:latin typeface="Calibri"/>
              <a:ea typeface="Calibri"/>
              <a:cs typeface="Calibri"/>
            </a:rPr>
            <a:pPr algn="ctr"/>
            <a:t>4.74</a:t>
          </a:fld>
          <a:endParaRPr lang="en-US" sz="1600" b="1"/>
        </a:p>
      </xdr:txBody>
    </xdr:sp>
    <xdr:clientData/>
  </xdr:twoCellAnchor>
  <xdr:twoCellAnchor editAs="oneCell">
    <xdr:from>
      <xdr:col>3</xdr:col>
      <xdr:colOff>590550</xdr:colOff>
      <xdr:row>4</xdr:row>
      <xdr:rowOff>57150</xdr:rowOff>
    </xdr:from>
    <xdr:to>
      <xdr:col>4</xdr:col>
      <xdr:colOff>279400</xdr:colOff>
      <xdr:row>5</xdr:row>
      <xdr:rowOff>171450</xdr:rowOff>
    </xdr:to>
    <xdr:pic>
      <xdr:nvPicPr>
        <xdr:cNvPr id="28" name="Graphic 27" descr="User with solid fill">
          <a:extLst>
            <a:ext uri="{FF2B5EF4-FFF2-40B4-BE49-F238E27FC236}">
              <a16:creationId xmlns:a16="http://schemas.microsoft.com/office/drawing/2014/main" id="{C4567C14-26B6-BB57-59AB-DE990AC929E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419350" y="793750"/>
          <a:ext cx="298450" cy="298450"/>
        </a:xfrm>
        <a:prstGeom prst="rect">
          <a:avLst/>
        </a:prstGeom>
      </xdr:spPr>
    </xdr:pic>
    <xdr:clientData/>
  </xdr:twoCellAnchor>
  <xdr:twoCellAnchor editAs="oneCell">
    <xdr:from>
      <xdr:col>9</xdr:col>
      <xdr:colOff>114300</xdr:colOff>
      <xdr:row>4</xdr:row>
      <xdr:rowOff>44450</xdr:rowOff>
    </xdr:from>
    <xdr:to>
      <xdr:col>9</xdr:col>
      <xdr:colOff>349250</xdr:colOff>
      <xdr:row>5</xdr:row>
      <xdr:rowOff>95250</xdr:rowOff>
    </xdr:to>
    <xdr:pic>
      <xdr:nvPicPr>
        <xdr:cNvPr id="30" name="Graphic 29" descr="Customer review with solid fill">
          <a:extLst>
            <a:ext uri="{FF2B5EF4-FFF2-40B4-BE49-F238E27FC236}">
              <a16:creationId xmlns:a16="http://schemas.microsoft.com/office/drawing/2014/main" id="{0C5A9385-3B19-AC0C-1F0F-C5DA7FC1BCF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00700" y="781050"/>
          <a:ext cx="234950" cy="234950"/>
        </a:xfrm>
        <a:prstGeom prst="rect">
          <a:avLst/>
        </a:prstGeom>
      </xdr:spPr>
    </xdr:pic>
    <xdr:clientData/>
  </xdr:twoCellAnchor>
  <xdr:twoCellAnchor editAs="oneCell">
    <xdr:from>
      <xdr:col>6</xdr:col>
      <xdr:colOff>457200</xdr:colOff>
      <xdr:row>4</xdr:row>
      <xdr:rowOff>76200</xdr:rowOff>
    </xdr:from>
    <xdr:to>
      <xdr:col>7</xdr:col>
      <xdr:colOff>69850</xdr:colOff>
      <xdr:row>5</xdr:row>
      <xdr:rowOff>114300</xdr:rowOff>
    </xdr:to>
    <xdr:pic>
      <xdr:nvPicPr>
        <xdr:cNvPr id="32" name="Graphic 31" descr="Hourglass Finished with solid fill">
          <a:extLst>
            <a:ext uri="{FF2B5EF4-FFF2-40B4-BE49-F238E27FC236}">
              <a16:creationId xmlns:a16="http://schemas.microsoft.com/office/drawing/2014/main" id="{FB10EA51-4FD9-F86D-6088-01A965F5D2C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114800" y="812800"/>
          <a:ext cx="222250" cy="222250"/>
        </a:xfrm>
        <a:prstGeom prst="rect">
          <a:avLst/>
        </a:prstGeom>
      </xdr:spPr>
    </xdr:pic>
    <xdr:clientData/>
  </xdr:twoCellAnchor>
  <xdr:twoCellAnchor editAs="oneCell">
    <xdr:from>
      <xdr:col>0</xdr:col>
      <xdr:colOff>209550</xdr:colOff>
      <xdr:row>4</xdr:row>
      <xdr:rowOff>44450</xdr:rowOff>
    </xdr:from>
    <xdr:to>
      <xdr:col>1</xdr:col>
      <xdr:colOff>463550</xdr:colOff>
      <xdr:row>22</xdr:row>
      <xdr:rowOff>177800</xdr:rowOff>
    </xdr:to>
    <mc:AlternateContent xmlns:mc="http://schemas.openxmlformats.org/markup-compatibility/2006">
      <mc:Choice xmlns:a14="http://schemas.microsoft.com/office/drawing/2010/main" Requires="a14">
        <xdr:graphicFrame macro="">
          <xdr:nvGraphicFramePr>
            <xdr:cNvPr id="33" name="Date (Month)">
              <a:extLst>
                <a:ext uri="{FF2B5EF4-FFF2-40B4-BE49-F238E27FC236}">
                  <a16:creationId xmlns:a16="http://schemas.microsoft.com/office/drawing/2014/main" id="{4E7B23FF-D2FC-47F0-8ED7-F2D2077A80D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09550" y="781050"/>
              <a:ext cx="863600" cy="344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6</xdr:row>
      <xdr:rowOff>12700</xdr:rowOff>
    </xdr:from>
    <xdr:to>
      <xdr:col>4</xdr:col>
      <xdr:colOff>323850</xdr:colOff>
      <xdr:row>10</xdr:row>
      <xdr:rowOff>38100</xdr:rowOff>
    </xdr:to>
    <xdr:graphicFrame macro="">
      <xdr:nvGraphicFramePr>
        <xdr:cNvPr id="36" name="Chart 35">
          <a:hlinkClick xmlns:r="http://schemas.openxmlformats.org/officeDocument/2006/relationships" r:id="rId8"/>
          <a:extLst>
            <a:ext uri="{FF2B5EF4-FFF2-40B4-BE49-F238E27FC236}">
              <a16:creationId xmlns:a16="http://schemas.microsoft.com/office/drawing/2014/main" id="{80388DC5-C727-4A75-A5CA-359A6F71E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400050</xdr:colOff>
      <xdr:row>7</xdr:row>
      <xdr:rowOff>44449</xdr:rowOff>
    </xdr:from>
    <xdr:to>
      <xdr:col>7</xdr:col>
      <xdr:colOff>101600</xdr:colOff>
      <xdr:row>10</xdr:row>
      <xdr:rowOff>50800</xdr:rowOff>
    </xdr:to>
    <xdr:graphicFrame macro="">
      <xdr:nvGraphicFramePr>
        <xdr:cNvPr id="10" name="Chart 9">
          <a:hlinkClick xmlns:r="http://schemas.openxmlformats.org/officeDocument/2006/relationships" r:id="rId10"/>
          <a:extLst>
            <a:ext uri="{FF2B5EF4-FFF2-40B4-BE49-F238E27FC236}">
              <a16:creationId xmlns:a16="http://schemas.microsoft.com/office/drawing/2014/main" id="{F2DEBC94-1146-4C98-B690-9226F2E45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171450</xdr:colOff>
      <xdr:row>7</xdr:row>
      <xdr:rowOff>101600</xdr:rowOff>
    </xdr:from>
    <xdr:to>
      <xdr:col>9</xdr:col>
      <xdr:colOff>438150</xdr:colOff>
      <xdr:row>10</xdr:row>
      <xdr:rowOff>50800</xdr:rowOff>
    </xdr:to>
    <xdr:graphicFrame macro="">
      <xdr:nvGraphicFramePr>
        <xdr:cNvPr id="11" name="Chart 10">
          <a:extLst>
            <a:ext uri="{FF2B5EF4-FFF2-40B4-BE49-F238E27FC236}">
              <a16:creationId xmlns:a16="http://schemas.microsoft.com/office/drawing/2014/main" id="{9AAD3748-FAF5-487B-968E-E910AD5FD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25400</xdr:colOff>
          <xdr:row>10</xdr:row>
          <xdr:rowOff>146050</xdr:rowOff>
        </xdr:from>
        <xdr:to>
          <xdr:col>9</xdr:col>
          <xdr:colOff>431800</xdr:colOff>
          <xdr:row>13</xdr:row>
          <xdr:rowOff>152400</xdr:rowOff>
        </xdr:to>
        <xdr:pic>
          <xdr:nvPicPr>
            <xdr:cNvPr id="27" name="Picture 26">
              <a:extLst>
                <a:ext uri="{FF2B5EF4-FFF2-40B4-BE49-F238E27FC236}">
                  <a16:creationId xmlns:a16="http://schemas.microsoft.com/office/drawing/2014/main" id="{364D59F6-4805-17B3-2411-3C75590FECE2}"/>
                </a:ext>
              </a:extLst>
            </xdr:cNvPr>
            <xdr:cNvPicPr>
              <a:picLocks noChangeAspect="1" noChangeArrowheads="1"/>
              <a:extLst>
                <a:ext uri="{84589F7E-364E-4C9E-8A38-B11213B215E9}">
                  <a14:cameraTool cellRange="'Pivot Report'!$A$47:$D$49" spid="_x0000_s1033"/>
                </a:ext>
              </a:extLst>
            </xdr:cNvPicPr>
          </xdr:nvPicPr>
          <xdr:blipFill>
            <a:blip xmlns:r="http://schemas.openxmlformats.org/officeDocument/2006/relationships" r:embed="rId13"/>
            <a:srcRect/>
            <a:stretch>
              <a:fillRect/>
            </a:stretch>
          </xdr:blipFill>
          <xdr:spPr bwMode="auto">
            <a:xfrm>
              <a:off x="1244600" y="1987550"/>
              <a:ext cx="4673600" cy="558800"/>
            </a:xfrm>
            <a:prstGeom prst="rect">
              <a:avLst/>
            </a:prstGeom>
            <a:solidFill>
              <a:schemeClr val="bg1">
                <a:lumMod val="95000"/>
              </a:schemeClr>
            </a:solidFill>
          </xdr:spPr>
        </xdr:pic>
        <xdr:clientData/>
      </xdr:twoCellAnchor>
    </mc:Choice>
    <mc:Fallback/>
  </mc:AlternateContent>
  <xdr:twoCellAnchor>
    <xdr:from>
      <xdr:col>1</xdr:col>
      <xdr:colOff>584200</xdr:colOff>
      <xdr:row>14</xdr:row>
      <xdr:rowOff>88900</xdr:rowOff>
    </xdr:from>
    <xdr:to>
      <xdr:col>9</xdr:col>
      <xdr:colOff>381000</xdr:colOff>
      <xdr:row>23</xdr:row>
      <xdr:rowOff>12700</xdr:rowOff>
    </xdr:to>
    <xdr:graphicFrame macro="">
      <xdr:nvGraphicFramePr>
        <xdr:cNvPr id="29" name="Chart 28">
          <a:extLst>
            <a:ext uri="{FF2B5EF4-FFF2-40B4-BE49-F238E27FC236}">
              <a16:creationId xmlns:a16="http://schemas.microsoft.com/office/drawing/2014/main" id="{E7BB9418-26F5-41E0-B3F9-20214D013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4</xdr:col>
      <xdr:colOff>139700</xdr:colOff>
      <xdr:row>21</xdr:row>
      <xdr:rowOff>120650</xdr:rowOff>
    </xdr:from>
    <xdr:to>
      <xdr:col>7</xdr:col>
      <xdr:colOff>95250</xdr:colOff>
      <xdr:row>22</xdr:row>
      <xdr:rowOff>120650</xdr:rowOff>
    </xdr:to>
    <xdr:sp macro="" textlink="">
      <xdr:nvSpPr>
        <xdr:cNvPr id="31" name="TextBox 30">
          <a:extLst>
            <a:ext uri="{FF2B5EF4-FFF2-40B4-BE49-F238E27FC236}">
              <a16:creationId xmlns:a16="http://schemas.microsoft.com/office/drawing/2014/main" id="{652D56E6-8BA5-4949-90DD-A54B59F7D84D}"/>
            </a:ext>
          </a:extLst>
        </xdr:cNvPr>
        <xdr:cNvSpPr txBox="1"/>
      </xdr:nvSpPr>
      <xdr:spPr>
        <a:xfrm>
          <a:off x="2578100" y="3987800"/>
          <a:ext cx="1784350" cy="184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t>No.</a:t>
          </a:r>
          <a:r>
            <a:rPr lang="en-US" sz="1050" b="1" baseline="0"/>
            <a:t> of Patient by Age group</a:t>
          </a:r>
          <a:endParaRPr lang="en-US" sz="1050" b="1"/>
        </a:p>
      </xdr:txBody>
    </xdr:sp>
    <xdr:clientData/>
  </xdr:twoCellAnchor>
  <xdr:twoCellAnchor>
    <xdr:from>
      <xdr:col>10</xdr:col>
      <xdr:colOff>63500</xdr:colOff>
      <xdr:row>1</xdr:row>
      <xdr:rowOff>12700</xdr:rowOff>
    </xdr:from>
    <xdr:to>
      <xdr:col>13</xdr:col>
      <xdr:colOff>12700</xdr:colOff>
      <xdr:row>9</xdr:row>
      <xdr:rowOff>69850</xdr:rowOff>
    </xdr:to>
    <xdr:graphicFrame macro="">
      <xdr:nvGraphicFramePr>
        <xdr:cNvPr id="35" name="Chart 34">
          <a:extLst>
            <a:ext uri="{FF2B5EF4-FFF2-40B4-BE49-F238E27FC236}">
              <a16:creationId xmlns:a16="http://schemas.microsoft.com/office/drawing/2014/main" id="{020C99B1-5791-4F58-87AF-B5DB893E7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10</xdr:col>
      <xdr:colOff>184150</xdr:colOff>
      <xdr:row>8</xdr:row>
      <xdr:rowOff>146050</xdr:rowOff>
    </xdr:from>
    <xdr:to>
      <xdr:col>12</xdr:col>
      <xdr:colOff>501650</xdr:colOff>
      <xdr:row>9</xdr:row>
      <xdr:rowOff>139700</xdr:rowOff>
    </xdr:to>
    <xdr:sp macro="" textlink="">
      <xdr:nvSpPr>
        <xdr:cNvPr id="37" name="TextBox 36">
          <a:extLst>
            <a:ext uri="{FF2B5EF4-FFF2-40B4-BE49-F238E27FC236}">
              <a16:creationId xmlns:a16="http://schemas.microsoft.com/office/drawing/2014/main" id="{F889FBA9-CCDA-4FBF-BE4E-9693B3291EE2}"/>
            </a:ext>
          </a:extLst>
        </xdr:cNvPr>
        <xdr:cNvSpPr txBox="1"/>
      </xdr:nvSpPr>
      <xdr:spPr>
        <a:xfrm>
          <a:off x="6280150" y="1619250"/>
          <a:ext cx="15367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baseline="0"/>
            <a:t>Patient Attend Status</a:t>
          </a:r>
          <a:endParaRPr lang="en-US" sz="1050" b="1"/>
        </a:p>
      </xdr:txBody>
    </xdr:sp>
    <xdr:clientData/>
  </xdr:twoCellAnchor>
  <xdr:twoCellAnchor>
    <xdr:from>
      <xdr:col>13</xdr:col>
      <xdr:colOff>209550</xdr:colOff>
      <xdr:row>0</xdr:row>
      <xdr:rowOff>165100</xdr:rowOff>
    </xdr:from>
    <xdr:to>
      <xdr:col>16</xdr:col>
      <xdr:colOff>165100</xdr:colOff>
      <xdr:row>8</xdr:row>
      <xdr:rowOff>146050</xdr:rowOff>
    </xdr:to>
    <xdr:graphicFrame macro="">
      <xdr:nvGraphicFramePr>
        <xdr:cNvPr id="38" name="Chart 37">
          <a:extLst>
            <a:ext uri="{FF2B5EF4-FFF2-40B4-BE49-F238E27FC236}">
              <a16:creationId xmlns:a16="http://schemas.microsoft.com/office/drawing/2014/main" id="{EDE1B053-FDDE-4E20-8136-75E19C28E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13</xdr:col>
      <xdr:colOff>349250</xdr:colOff>
      <xdr:row>8</xdr:row>
      <xdr:rowOff>120650</xdr:rowOff>
    </xdr:from>
    <xdr:to>
      <xdr:col>16</xdr:col>
      <xdr:colOff>57150</xdr:colOff>
      <xdr:row>9</xdr:row>
      <xdr:rowOff>114300</xdr:rowOff>
    </xdr:to>
    <xdr:sp macro="" textlink="">
      <xdr:nvSpPr>
        <xdr:cNvPr id="39" name="TextBox 38">
          <a:extLst>
            <a:ext uri="{FF2B5EF4-FFF2-40B4-BE49-F238E27FC236}">
              <a16:creationId xmlns:a16="http://schemas.microsoft.com/office/drawing/2014/main" id="{0F628278-CA55-4998-9519-DCB53944452A}"/>
            </a:ext>
          </a:extLst>
        </xdr:cNvPr>
        <xdr:cNvSpPr txBox="1"/>
      </xdr:nvSpPr>
      <xdr:spPr>
        <a:xfrm>
          <a:off x="8274050" y="1593850"/>
          <a:ext cx="1536700" cy="177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baseline="0"/>
            <a:t>Gender wise Analysis</a:t>
          </a:r>
          <a:endParaRPr lang="en-US" sz="1050" b="1"/>
        </a:p>
      </xdr:txBody>
    </xdr:sp>
    <xdr:clientData/>
  </xdr:twoCellAnchor>
  <xdr:twoCellAnchor>
    <xdr:from>
      <xdr:col>9</xdr:col>
      <xdr:colOff>590550</xdr:colOff>
      <xdr:row>10</xdr:row>
      <xdr:rowOff>158750</xdr:rowOff>
    </xdr:from>
    <xdr:to>
      <xdr:col>16</xdr:col>
      <xdr:colOff>222250</xdr:colOff>
      <xdr:row>22</xdr:row>
      <xdr:rowOff>0</xdr:rowOff>
    </xdr:to>
    <xdr:graphicFrame macro="">
      <xdr:nvGraphicFramePr>
        <xdr:cNvPr id="40" name="Chart 39">
          <a:extLst>
            <a:ext uri="{FF2B5EF4-FFF2-40B4-BE49-F238E27FC236}">
              <a16:creationId xmlns:a16="http://schemas.microsoft.com/office/drawing/2014/main" id="{7E7EEADC-1A99-4BE1-BE2D-AB17916AC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558800</xdr:colOff>
      <xdr:row>21</xdr:row>
      <xdr:rowOff>127000</xdr:rowOff>
    </xdr:from>
    <xdr:to>
      <xdr:col>15</xdr:col>
      <xdr:colOff>190500</xdr:colOff>
      <xdr:row>22</xdr:row>
      <xdr:rowOff>171450</xdr:rowOff>
    </xdr:to>
    <xdr:sp macro="" textlink="">
      <xdr:nvSpPr>
        <xdr:cNvPr id="41" name="TextBox 40">
          <a:extLst>
            <a:ext uri="{FF2B5EF4-FFF2-40B4-BE49-F238E27FC236}">
              <a16:creationId xmlns:a16="http://schemas.microsoft.com/office/drawing/2014/main" id="{228384D3-332D-402C-80D2-AFAD977A1C49}"/>
            </a:ext>
          </a:extLst>
        </xdr:cNvPr>
        <xdr:cNvSpPr txBox="1"/>
      </xdr:nvSpPr>
      <xdr:spPr>
        <a:xfrm>
          <a:off x="6654800" y="3994150"/>
          <a:ext cx="26797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50" b="1"/>
            <a:t>No.</a:t>
          </a:r>
          <a:r>
            <a:rPr lang="en-US" sz="1050" b="1" baseline="0"/>
            <a:t> of Patient by Department Referal</a:t>
          </a:r>
          <a:endParaRPr lang="en-US" sz="1050" b="1"/>
        </a:p>
      </xdr:txBody>
    </xdr:sp>
    <xdr:clientData/>
  </xdr:twoCellAnchor>
  <xdr:twoCellAnchor editAs="oneCell">
    <xdr:from>
      <xdr:col>7</xdr:col>
      <xdr:colOff>368300</xdr:colOff>
      <xdr:row>1</xdr:row>
      <xdr:rowOff>19050</xdr:rowOff>
    </xdr:from>
    <xdr:to>
      <xdr:col>9</xdr:col>
      <xdr:colOff>368300</xdr:colOff>
      <xdr:row>3</xdr:row>
      <xdr:rowOff>63500</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46823F43-E0F8-4ACC-873F-93C801F455E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635500" y="203200"/>
              <a:ext cx="1219200" cy="41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50800</xdr:colOff>
      <xdr:row>0</xdr:row>
      <xdr:rowOff>0</xdr:rowOff>
    </xdr:from>
    <xdr:to>
      <xdr:col>19</xdr:col>
      <xdr:colOff>152400</xdr:colOff>
      <xdr:row>22</xdr:row>
      <xdr:rowOff>57150</xdr:rowOff>
    </xdr:to>
    <xdr:graphicFrame macro="">
      <xdr:nvGraphicFramePr>
        <xdr:cNvPr id="2" name="Chart 1">
          <a:extLst>
            <a:ext uri="{FF2B5EF4-FFF2-40B4-BE49-F238E27FC236}">
              <a16:creationId xmlns:a16="http://schemas.microsoft.com/office/drawing/2014/main" id="{8E72E818-B311-4279-8D79-60CE0AE84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292100</xdr:colOff>
      <xdr:row>22</xdr:row>
      <xdr:rowOff>69850</xdr:rowOff>
    </xdr:from>
    <xdr:to>
      <xdr:col>14</xdr:col>
      <xdr:colOff>266700</xdr:colOff>
      <xdr:row>23</xdr:row>
      <xdr:rowOff>158750</xdr:rowOff>
    </xdr:to>
    <xdr:sp macro="" textlink="">
      <xdr:nvSpPr>
        <xdr:cNvPr id="3" name="TextBox 2">
          <a:extLst>
            <a:ext uri="{FF2B5EF4-FFF2-40B4-BE49-F238E27FC236}">
              <a16:creationId xmlns:a16="http://schemas.microsoft.com/office/drawing/2014/main" id="{0ADD07C2-E7B0-7F91-187B-EB68A1B6F123}"/>
            </a:ext>
          </a:extLst>
        </xdr:cNvPr>
        <xdr:cNvSpPr txBox="1"/>
      </xdr:nvSpPr>
      <xdr:spPr>
        <a:xfrm>
          <a:off x="2730500" y="4121150"/>
          <a:ext cx="60706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Showing</a:t>
          </a:r>
          <a:r>
            <a:rPr lang="en-US" sz="1100" baseline="0"/>
            <a:t> a daily trend with an area sparking to spot pattern like busy days or seasonal trends.</a:t>
          </a:r>
          <a:endParaRPr lang="en-US" sz="1100"/>
        </a:p>
      </xdr:txBody>
    </xdr:sp>
    <xdr:clientData/>
  </xdr:twoCellAnchor>
  <xdr:twoCellAnchor editAs="oneCell">
    <xdr:from>
      <xdr:col>0</xdr:col>
      <xdr:colOff>419100</xdr:colOff>
      <xdr:row>1</xdr:row>
      <xdr:rowOff>50800</xdr:rowOff>
    </xdr:from>
    <xdr:to>
      <xdr:col>1</xdr:col>
      <xdr:colOff>311150</xdr:colOff>
      <xdr:row>4</xdr:row>
      <xdr:rowOff>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89F9C089-4397-83D6-F19E-2E7B8864EA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19100" y="234950"/>
          <a:ext cx="501650" cy="501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12700</xdr:rowOff>
    </xdr:from>
    <xdr:to>
      <xdr:col>18</xdr:col>
      <xdr:colOff>596900</xdr:colOff>
      <xdr:row>21</xdr:row>
      <xdr:rowOff>165100</xdr:rowOff>
    </xdr:to>
    <xdr:graphicFrame macro="">
      <xdr:nvGraphicFramePr>
        <xdr:cNvPr id="2" name="Chart 1">
          <a:extLst>
            <a:ext uri="{FF2B5EF4-FFF2-40B4-BE49-F238E27FC236}">
              <a16:creationId xmlns:a16="http://schemas.microsoft.com/office/drawing/2014/main" id="{A5C219AA-FB48-4A1C-B5E9-F1DF8F54F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342900</xdr:colOff>
      <xdr:row>2</xdr:row>
      <xdr:rowOff>76200</xdr:rowOff>
    </xdr:from>
    <xdr:to>
      <xdr:col>1</xdr:col>
      <xdr:colOff>292100</xdr:colOff>
      <xdr:row>5</xdr:row>
      <xdr:rowOff>82550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728F9DB3-719F-544F-8E3D-53D6031758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2900" y="444500"/>
          <a:ext cx="558800" cy="558800"/>
        </a:xfrm>
        <a:prstGeom prst="rect">
          <a:avLst/>
        </a:prstGeom>
      </xdr:spPr>
    </xdr:pic>
    <xdr:clientData/>
  </xdr:twoCellAnchor>
  <xdr:twoCellAnchor>
    <xdr:from>
      <xdr:col>4</xdr:col>
      <xdr:colOff>19050</xdr:colOff>
      <xdr:row>22</xdr:row>
      <xdr:rowOff>57150</xdr:rowOff>
    </xdr:from>
    <xdr:to>
      <xdr:col>15</xdr:col>
      <xdr:colOff>82550</xdr:colOff>
      <xdr:row>23</xdr:row>
      <xdr:rowOff>95250</xdr:rowOff>
    </xdr:to>
    <xdr:sp macro="" textlink="">
      <xdr:nvSpPr>
        <xdr:cNvPr id="7" name="TextBox 6">
          <a:extLst>
            <a:ext uri="{FF2B5EF4-FFF2-40B4-BE49-F238E27FC236}">
              <a16:creationId xmlns:a16="http://schemas.microsoft.com/office/drawing/2014/main" id="{6E74D03B-8373-50DF-0253-7270F1AEC149}"/>
            </a:ext>
          </a:extLst>
        </xdr:cNvPr>
        <xdr:cNvSpPr txBox="1"/>
      </xdr:nvSpPr>
      <xdr:spPr>
        <a:xfrm>
          <a:off x="2457450" y="4108450"/>
          <a:ext cx="67691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Use area sparkline to track changes and highlight days with longer</a:t>
          </a:r>
          <a:r>
            <a:rPr lang="en-US" sz="1200" baseline="0"/>
            <a:t> wait times that might need improvement</a:t>
          </a:r>
          <a:endParaRPr lang="en-US"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19050</xdr:colOff>
      <xdr:row>22</xdr:row>
      <xdr:rowOff>57150</xdr:rowOff>
    </xdr:from>
    <xdr:to>
      <xdr:col>15</xdr:col>
      <xdr:colOff>82550</xdr:colOff>
      <xdr:row>23</xdr:row>
      <xdr:rowOff>95250</xdr:rowOff>
    </xdr:to>
    <xdr:sp macro="" textlink="">
      <xdr:nvSpPr>
        <xdr:cNvPr id="4" name="TextBox 3">
          <a:extLst>
            <a:ext uri="{FF2B5EF4-FFF2-40B4-BE49-F238E27FC236}">
              <a16:creationId xmlns:a16="http://schemas.microsoft.com/office/drawing/2014/main" id="{2FDADA9E-F5FB-4A58-9668-7F9364666CE5}"/>
            </a:ext>
          </a:extLst>
        </xdr:cNvPr>
        <xdr:cNvSpPr txBox="1"/>
      </xdr:nvSpPr>
      <xdr:spPr>
        <a:xfrm>
          <a:off x="2457450" y="4108450"/>
          <a:ext cx="67691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200"/>
            <a:t>Use</a:t>
          </a:r>
          <a:r>
            <a:rPr lang="en-US" sz="1200" baseline="0"/>
            <a:t> an area sparkline to show trends, spot drops in satisfaction, and to busy timesor challenges</a:t>
          </a:r>
          <a:endParaRPr lang="en-US" sz="1200"/>
        </a:p>
      </xdr:txBody>
    </xdr:sp>
    <xdr:clientData/>
  </xdr:twoCellAnchor>
  <xdr:twoCellAnchor>
    <xdr:from>
      <xdr:col>0</xdr:col>
      <xdr:colOff>0</xdr:colOff>
      <xdr:row>0</xdr:row>
      <xdr:rowOff>0</xdr:rowOff>
    </xdr:from>
    <xdr:to>
      <xdr:col>19</xdr:col>
      <xdr:colOff>374650</xdr:colOff>
      <xdr:row>21</xdr:row>
      <xdr:rowOff>177800</xdr:rowOff>
    </xdr:to>
    <xdr:graphicFrame macro="">
      <xdr:nvGraphicFramePr>
        <xdr:cNvPr id="6" name="Chart 5">
          <a:extLst>
            <a:ext uri="{FF2B5EF4-FFF2-40B4-BE49-F238E27FC236}">
              <a16:creationId xmlns:a16="http://schemas.microsoft.com/office/drawing/2014/main" id="{4595924E-3DA3-4054-A8EF-46F038A50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1</xdr:row>
      <xdr:rowOff>88900</xdr:rowOff>
    </xdr:from>
    <xdr:to>
      <xdr:col>1</xdr:col>
      <xdr:colOff>330200</xdr:colOff>
      <xdr:row>4</xdr:row>
      <xdr:rowOff>95250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63EF75EE-2C07-483D-9541-7F8AC77176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0" y="273050"/>
          <a:ext cx="558800" cy="5588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1944446" createdVersion="5" refreshedVersion="8" minRefreshableVersion="3" recordCount="0" supportSubquery="1" supportAdvancedDrill="1" xr:uid="{EA470160-B47C-48D3-A9D6-88CA19C37BDC}">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2060185" createdVersion="5" refreshedVersion="8" minRefreshableVersion="3" recordCount="0" supportSubquery="1" supportAdvancedDrill="1" xr:uid="{33F721E1-FCB0-4B39-B0B3-561ECE8EFA0D}">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229167" createdVersion="5" refreshedVersion="8" minRefreshableVersion="3" recordCount="0" supportSubquery="1" supportAdvancedDrill="1" xr:uid="{AFB90CB2-2EA9-4B8A-8403-404B2B59DAA3}">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2407408" createdVersion="5" refreshedVersion="8" minRefreshableVersion="3" recordCount="0" supportSubquery="1" supportAdvancedDrill="1" xr:uid="{78196638-5189-47D3-9770-59B84DED31B1}">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287037" createdVersion="5" refreshedVersion="8" minRefreshableVersion="3" recordCount="0" supportSubquery="1" supportAdvancedDrill="1" xr:uid="{B990536B-CAA3-4B79-B193-E8C32604BCE0}">
  <cacheSource type="external" connectionId="3"/>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3217593" createdVersion="5" refreshedVersion="8" minRefreshableVersion="3" recordCount="0" supportSubquery="1" supportAdvancedDrill="1" xr:uid="{CAA57224-81A1-4F69-864B-C5ADC9557CDD}">
  <cacheSource type="external" connectionId="3"/>
  <cacheFields count="4">
    <cacheField name="[Calender_Table].[Date (Day)].[Date (Day)]" caption="Date (Day)" numFmtId="0" hierarchy="2" level="1">
      <sharedItems count="31">
        <s v="1-Oct"/>
        <s v="2-Oct"/>
        <s v="3-Oct"/>
        <s v="4-Oct"/>
        <s v="5-Oct"/>
        <s v="6-Oct"/>
        <s v="7-Oct"/>
        <s v="8-Oct"/>
        <s v="9-Oct"/>
        <s v="10-Oct"/>
        <s v="11-Oct"/>
        <s v="12-Oct"/>
        <s v="13-Oct"/>
        <s v="14-Oct"/>
        <s v="15-Oct"/>
        <s v="16-Oct"/>
        <s v="17-Oct"/>
        <s v="18-Oct"/>
        <s v="19-Oct"/>
        <s v="20-Oct"/>
        <s v="21-Oct"/>
        <s v="22-Oct"/>
        <s v="23-Oct"/>
        <s v="24-Oct"/>
        <s v="25-Oct"/>
        <s v="26-Oct"/>
        <s v="27-Oct"/>
        <s v="28-Oct"/>
        <s v="29-Oct"/>
        <s v="30-Oct"/>
        <s v="31-Oct"/>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3564817" createdVersion="5" refreshedVersion="8" minRefreshableVersion="3" recordCount="0" supportSubquery="1" supportAdvancedDrill="1" xr:uid="{0DBFABB9-F6F8-46C0-A6AA-6F41AD42950A}">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391204" createdVersion="5" refreshedVersion="8" minRefreshableVersion="3" recordCount="0" supportSubquery="1" supportAdvancedDrill="1" xr:uid="{93CA6ABE-C76A-4433-B67A-D54D4B6E535A}">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3"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4375002" createdVersion="5" refreshedVersion="8" minRefreshableVersion="3" recordCount="0" supportSubquery="1" supportAdvancedDrill="1" xr:uid="{66E857D9-A54D-472B-80AE-B5DD8C79F31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4722225" createdVersion="5" refreshedVersion="8" minRefreshableVersion="3" recordCount="0" supportSubquery="1" supportAdvancedDrill="1" xr:uid="{64E9A715-5857-4B25-872C-5C3D851CB4C6}">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4"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5069441" createdVersion="5" refreshedVersion="8" minRefreshableVersion="3" recordCount="0" supportSubquery="1" supportAdvancedDrill="1" xr:uid="{EFF19A13-8279-4662-B962-121D20644AE5}">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er_Table].[Date (Year)].[Date (Year)]" caption="Date (Year)" numFmtId="0" hierarchy="3" level="1">
      <sharedItems containsSemiMixedTypes="0" containsNonDate="0" containsString="0"/>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33135416664" createdVersion="5" refreshedVersion="8" minRefreshableVersion="3" recordCount="0" supportSubquery="1" supportAdvancedDrill="1" xr:uid="{0BFA8EC0-FA5C-4CE2-B6B3-2238C86391B6}">
  <cacheSource type="external" connectionId="3"/>
  <cacheFields count="4">
    <cacheField name="[Calender_Table].[Date (Month)].[Date (Month)]" caption="Date (Month)" numFmtId="0" hierarchy="1" level="1">
      <sharedItems count="1">
        <s v="Nov"/>
      </sharedItems>
    </cacheField>
    <cacheField name="[Calende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3"/>
      </sharedItems>
    </cacheField>
  </cacheFields>
  <cacheHierarchies count="36">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n" refreshedDate="46062.929824652776" createdVersion="3" refreshedVersion="8" minRefreshableVersion="3" recordCount="0" supportSubquery="1" supportAdvancedDrill="1" xr:uid="{3E174991-5EB1-42AE-866A-1354E8551378}">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13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Satisfaction Score]" caption="Count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19462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4620E-D39E-4A60-9371-40AF7898A0CC}" name="PivotTable14" cacheId="903" applyNumberFormats="0" applyBorderFormats="0" applyFontFormats="0" applyPatternFormats="0" applyAlignmentFormats="0" applyWidthHeightFormats="1" dataCaption="Values" tag="07fe53e3-0309-4abb-ad94-36d3460688a5" updatedVersion="8" minRefreshableVersion="3" subtotalHiddenItems="1" itemPrintTitles="1" createdVersion="5" indent="0" outline="1" outlineData="1" multipleFieldFilters="0" chartFormat="23">
  <location ref="A65:A6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51">
      <pivotArea outline="0" collapsedLevelsAreSubtotals="1" fieldPosition="0"/>
    </format>
    <format dxfId="152">
      <pivotArea grandRow="1" outline="0" collapsedLevelsAreSubtotals="1" fieldPosition="0"/>
    </format>
  </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0D5BC-7F0D-48B4-869D-1F799FFC1C6E}" name="PivotTable13" cacheId="900" applyNumberFormats="0" applyBorderFormats="0" applyFontFormats="0" applyPatternFormats="0" applyAlignmentFormats="0" applyWidthHeightFormats="1" dataCaption="Values" tag="e295ea3b-dc8d-4250-b000-6bf0c75e3820" updatedVersion="8" minRefreshableVersion="3" subtotalHiddenItems="1" itemPrintTitles="1" createdVersion="5" indent="0" outline="1" outlineData="1" multipleFieldFilters="0" chartFormat="37">
  <location ref="G52:H6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i>
    <i>
      <x v="3"/>
    </i>
    <i>
      <x v="6"/>
    </i>
    <i>
      <x v="5"/>
    </i>
    <i>
      <x v="2"/>
    </i>
    <i>
      <x v="4"/>
    </i>
    <i t="grand">
      <x/>
    </i>
  </rowItems>
  <colItems count="1">
    <i/>
  </colItems>
  <dataFields count="1">
    <dataField name="Count of Department Referral" fld="2" subtotal="count" baseField="0" baseItem="0"/>
  </dataFields>
  <formats count="3">
    <format dxfId="154">
      <pivotArea outline="0" collapsedLevelsAreSubtotals="1" fieldPosition="0"/>
    </format>
    <format dxfId="155">
      <pivotArea grandRow="1" outline="0" collapsedLevelsAreSubtotals="1" fieldPosition="0"/>
    </format>
    <format dxfId="153">
      <pivotArea collapsedLevelsAreSubtotals="1" fieldPosition="0">
        <references count="1">
          <reference field="1" count="0"/>
        </references>
      </pivotArea>
    </format>
  </formats>
  <chartFormats count="1">
    <chartFormat chart="3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B0DD29-4F1C-4649-AE3C-E8B66FAFBBDB}" name="PivotTable12" cacheId="897" applyNumberFormats="0" applyBorderFormats="0" applyFontFormats="0" applyPatternFormats="0" applyAlignmentFormats="0" applyWidthHeightFormats="1" dataCaption="Values" tag="efe60022-2266-49c8-8a73-5b349560aa50" updatedVersion="8" minRefreshableVersion="3" subtotalHiddenItems="1" itemPrintTitles="1" createdVersion="5" indent="0" outline="1" outlineData="1" multipleFieldFilters="0" chartFormat="33">
  <location ref="D58:E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56">
      <pivotArea outline="0" collapsedLevelsAreSubtotals="1" fieldPosition="0"/>
    </format>
    <format dxfId="157">
      <pivotArea grandRow="1"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91382-A3B2-4891-A3B6-76754FA1A5A2}" name="PivotTable11" cacheId="894" applyNumberFormats="0" applyBorderFormats="0" applyFontFormats="0" applyPatternFormats="0" applyAlignmentFormats="0" applyWidthHeightFormats="1" dataCaption="Values" tag="91d2209f-99dc-47be-8ad8-78a86a4ba0ae" updatedVersion="8" minRefreshableVersion="3" subtotalHiddenItems="1" itemPrintTitles="1" createdVersion="5" indent="0" outline="1" outlineData="1" multipleFieldFilters="0" chartFormat="28">
  <location ref="D52:E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159">
      <pivotArea outline="0" collapsedLevelsAreSubtotals="1" fieldPosition="0"/>
    </format>
    <format dxfId="160">
      <pivotArea grandRow="1" outline="0" collapsedLevelsAreSubtotals="1" fieldPosition="0"/>
    </format>
    <format dxfId="158">
      <pivotArea collapsedLevelsAreSubtotals="1" fieldPosition="0">
        <references count="1">
          <reference field="1" count="0"/>
        </references>
      </pivotArea>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69E03F-8593-44BE-8FEA-B5B764C761A1}" name="PivotTable10" cacheId="891" applyNumberFormats="0" applyBorderFormats="0" applyFontFormats="0" applyPatternFormats="0" applyAlignmentFormats="0" applyWidthHeightFormats="1" dataCaption="Values" tag="8def58a4-cdcd-4a2e-9856-dde10ec9da49" updatedVersion="8" minRefreshableVersion="3" subtotalHiddenItems="1" itemPrintTitles="1" createdVersion="5" indent="0" outline="1" outlineData="1" multipleFieldFilters="0" chartFormat="23">
  <location ref="A52:B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162">
      <pivotArea outline="0" collapsedLevelsAreSubtotals="1" fieldPosition="0"/>
    </format>
    <format dxfId="163">
      <pivotArea grandRow="1" outline="0" collapsedLevelsAreSubtotals="1" fieldPosition="0"/>
    </format>
    <format dxfId="161">
      <pivotArea collapsedLevelsAreSubtotals="1" fieldPosition="0">
        <references count="1">
          <reference field="1" count="0"/>
        </references>
      </pivotArea>
    </format>
  </formats>
  <chartFormats count="1">
    <chartFormat chart="22"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42290B-2743-43FF-B8AC-A7173D3F1A9E}" name="PivotTable9" cacheId="888" applyNumberFormats="0" applyBorderFormats="0" applyFontFormats="0" applyPatternFormats="0" applyAlignmentFormats="0" applyWidthHeightFormats="1" dataCaption="Values" tag="9677e346-233b-4258-8eaf-702aa55736dc" updatedVersion="8" minRefreshableVersion="3" subtotalHiddenItems="1" itemPrintTitles="1" createdVersion="5" indent="0" outline="1" outlineData="1" multipleFieldFilters="0" chartFormat="19">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4">
    <format dxfId="167">
      <pivotArea outline="0" collapsedLevelsAreSubtotals="1" fieldPosition="0"/>
    </format>
    <format dxfId="166">
      <pivotArea collapsedLevelsAreSubtotals="1" fieldPosition="0">
        <references count="1">
          <reference field="2" count="0"/>
        </references>
      </pivotArea>
    </format>
    <format dxfId="165">
      <pivotArea grandRow="1" outline="0" collapsedLevelsAreSubtotals="1" fieldPosition="0"/>
    </format>
    <format dxfId="164">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02F8A7-6798-43EB-8051-E6E0B4BB3EA8}" name="PivotTable8" cacheId="885" applyNumberFormats="0" applyBorderFormats="0" applyFontFormats="0" applyPatternFormats="0" applyAlignmentFormats="0" applyWidthHeightFormats="1" dataCaption="Values" tag="d0d3060a-95af-4d9c-96e1-b6d3f29a419b" updatedVersion="8" minRefreshableVersion="3" subtotalHiddenItems="1" itemPrintTitles="1" createdVersion="5" indent="0" outline="1" outlineData="1" multipleFieldFilters="0" chartFormat="46">
  <location ref="K4:L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168">
      <pivotArea outline="0" collapsedLevelsAreSubtotals="1" fieldPosition="0"/>
    </format>
  </formats>
  <chartFormats count="2">
    <chartFormat chart="39"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43922E-3E0C-4F32-8343-0BAF4E889536}" name="PivotTable4" cacheId="882" applyNumberFormats="0" applyBorderFormats="0" applyFontFormats="0" applyPatternFormats="0" applyAlignmentFormats="0" applyWidthHeightFormats="1" dataCaption="Values" tag="a820874f-f9bd-4986-95ed-4c2d8d438115" updatedVersion="8" minRefreshableVersion="3" subtotalHiddenItems="1" itemPrintTitles="1" createdVersion="5" indent="0" outline="1" outlineData="1" multipleFieldFilters="0" chartFormat="35">
  <location ref="H4:I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169">
      <pivotArea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694A11-60AF-4794-BDAD-5FCE3E6DE6A3}" name="PivotTable7" cacheId="870" applyNumberFormats="0" applyBorderFormats="0" applyFontFormats="0" applyPatternFormats="0" applyAlignmentFormats="0" applyWidthHeightFormats="1" dataCaption="Values" tag="3195a533-5676-49ab-958f-45b70c23c176" updatedVersion="8" minRefreshableVersion="3" subtotalHiddenItems="1" itemPrintTitles="1" createdVersion="5" indent="0" outline="1" outlineData="1" multipleFieldFilters="0" chartFormat="30">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878E8C-6D59-4C16-99EC-803D61A0B032}" name="PivotTable6" cacheId="879" applyNumberFormats="0" applyBorderFormats="0" applyFontFormats="0" applyPatternFormats="0" applyAlignmentFormats="0" applyWidthHeightFormats="1" dataCaption="Values" tag="f7967bea-ae3e-42b0-9a84-567fca0e8d61"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70">
      <pivotArea outline="0" collapsedLevelsAreSubtotals="1" fieldPosition="0"/>
    </format>
  </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2A8018-0162-4CF1-8048-BE0A89DF7D81}" name="PivotTable5" cacheId="876" applyNumberFormats="0" applyBorderFormats="0" applyFontFormats="0" applyPatternFormats="0" applyAlignmentFormats="0" applyWidthHeightFormats="1" dataCaption="Values" tag="8ca971bd-4f29-4e28-8baa-d4376635471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1">
      <pivotArea outline="0" collapsedLevelsAreSubtotals="1" fieldPosition="0"/>
    </format>
  </format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C10613-82A1-431E-B321-5BADAD96A990}" name="PivotTable1" cacheId="873" applyNumberFormats="0" applyBorderFormats="0" applyFontFormats="0" applyPatternFormats="0" applyAlignmentFormats="0" applyWidthHeightFormats="1" dataCaption="Values" tag="87bad2de-8002-45f6-80c2-9dcbc2677e1b"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er_Table].[Date (Month)].&amp;[Oct]"/>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C3196B5-97B1-4D26-B26E-39B74F9BC5B7}" sourceName="[Calender_Table].[Date (Month)]">
  <pivotTables>
    <pivotTable tabId="1" name="PivotTable7"/>
    <pivotTable tabId="1" name="PivotTable1"/>
    <pivotTable tabId="1" name="PivotTable5"/>
    <pivotTable tabId="1" name="PivotTable6"/>
    <pivotTable tabId="1" name="PivotTable4"/>
    <pivotTable tabId="1" name="PivotTable8"/>
    <pivotTable tabId="1" name="PivotTable9"/>
    <pivotTable tabId="1" name="PivotTable10"/>
    <pivotTable tabId="1" name="PivotTable11"/>
    <pivotTable tabId="1" name="PivotTable12"/>
    <pivotTable tabId="1" name="PivotTable13"/>
    <pivotTable tabId="1" name="PivotTable14"/>
  </pivotTables>
  <data>
    <olap pivotCacheId="619462701">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4CB1068-6CDC-4074-8D52-7F0B02355295}"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4"/>
    <pivotTable tabId="1" name="PivotTable5"/>
    <pivotTable tabId="1" name="PivotTable6"/>
    <pivotTable tabId="1" name="PivotTable7"/>
    <pivotTable tabId="1" name="PivotTable8"/>
    <pivotTable tabId="1" name="PivotTable9"/>
  </pivotTables>
  <data>
    <olap pivotCacheId="619462701">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1333FD1-1363-40C0-9C6B-A26922DB1759}" cache="Slicer_Date__Month" caption="Date (Month)" showCaption="0" level="1" style="My style" rowHeight="237744"/>
  <slicer name="Date (Year)" xr10:uid="{691669D5-ADB4-473B-B0E1-BB9AD6550F3D}" cache="Slicer_Date__Year" caption="Date (Year)" columnCount="2" showCaption="0" level="1" style="My style"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632B1-0759-4208-B432-45DF71F1E035}">
  <dimension ref="A3:L67"/>
  <sheetViews>
    <sheetView topLeftCell="A52" workbookViewId="0">
      <selection activeCell="A65" sqref="A65"/>
    </sheetView>
  </sheetViews>
  <sheetFormatPr defaultRowHeight="14.5" x14ac:dyDescent="0.35"/>
  <cols>
    <col min="1" max="1" width="15.26953125" customWidth="1"/>
    <col min="2" max="2" width="12.7265625" customWidth="1"/>
    <col min="3" max="3" width="12" customWidth="1"/>
    <col min="4" max="4" width="26.81640625" customWidth="1"/>
    <col min="5" max="5" width="23.81640625" bestFit="1" customWidth="1"/>
    <col min="7" max="7" width="12.36328125" bestFit="1" customWidth="1"/>
    <col min="8" max="8" width="21.54296875" bestFit="1" customWidth="1"/>
    <col min="9" max="9" width="23.81640625" bestFit="1" customWidth="1"/>
    <col min="11" max="11" width="25.7265625" bestFit="1" customWidth="1"/>
    <col min="12" max="12" width="24.81640625" bestFit="1" customWidth="1"/>
  </cols>
  <sheetData>
    <row r="3" spans="1:12" x14ac:dyDescent="0.35">
      <c r="A3" t="s">
        <v>1</v>
      </c>
      <c r="D3" t="s">
        <v>6</v>
      </c>
      <c r="H3" t="s">
        <v>7</v>
      </c>
      <c r="K3" t="s">
        <v>8</v>
      </c>
    </row>
    <row r="4" spans="1:12" x14ac:dyDescent="0.35">
      <c r="A4" t="s">
        <v>0</v>
      </c>
      <c r="D4" s="1" t="s">
        <v>2</v>
      </c>
      <c r="E4" t="s">
        <v>0</v>
      </c>
      <c r="H4" s="1" t="s">
        <v>2</v>
      </c>
      <c r="I4" t="s">
        <v>4</v>
      </c>
      <c r="K4" s="1" t="s">
        <v>2</v>
      </c>
      <c r="L4" t="s">
        <v>5</v>
      </c>
    </row>
    <row r="5" spans="1:12" x14ac:dyDescent="0.35">
      <c r="A5" s="5">
        <v>493</v>
      </c>
      <c r="D5" s="2" t="s">
        <v>41</v>
      </c>
      <c r="E5" s="5">
        <v>15</v>
      </c>
      <c r="H5" s="2" t="s">
        <v>41</v>
      </c>
      <c r="I5" s="3">
        <v>36.4</v>
      </c>
      <c r="K5" s="2" t="s">
        <v>41</v>
      </c>
      <c r="L5" s="3">
        <v>4.8</v>
      </c>
    </row>
    <row r="6" spans="1:12" x14ac:dyDescent="0.35">
      <c r="D6" s="2" t="s">
        <v>42</v>
      </c>
      <c r="E6" s="5">
        <v>14</v>
      </c>
      <c r="H6" s="2" t="s">
        <v>42</v>
      </c>
      <c r="I6" s="3">
        <v>33.357142857142854</v>
      </c>
      <c r="K6" s="2" t="s">
        <v>42</v>
      </c>
      <c r="L6" s="3">
        <v>3.8</v>
      </c>
    </row>
    <row r="7" spans="1:12" x14ac:dyDescent="0.35">
      <c r="D7" s="2" t="s">
        <v>43</v>
      </c>
      <c r="E7" s="5">
        <v>15</v>
      </c>
      <c r="H7" s="2" t="s">
        <v>43</v>
      </c>
      <c r="I7" s="3">
        <v>38.200000000000003</v>
      </c>
      <c r="K7" s="2" t="s">
        <v>43</v>
      </c>
      <c r="L7" s="3">
        <v>2.5</v>
      </c>
    </row>
    <row r="8" spans="1:12" x14ac:dyDescent="0.35">
      <c r="A8" t="s">
        <v>4</v>
      </c>
      <c r="D8" s="2" t="s">
        <v>44</v>
      </c>
      <c r="E8" s="5">
        <v>18</v>
      </c>
      <c r="H8" s="2" t="s">
        <v>44</v>
      </c>
      <c r="I8" s="3">
        <v>37.611111111111114</v>
      </c>
      <c r="K8" s="2" t="s">
        <v>44</v>
      </c>
      <c r="L8" s="3">
        <v>3.75</v>
      </c>
    </row>
    <row r="9" spans="1:12" x14ac:dyDescent="0.35">
      <c r="A9" s="3">
        <v>34.933062880324542</v>
      </c>
      <c r="D9" s="2" t="s">
        <v>45</v>
      </c>
      <c r="E9" s="5">
        <v>19</v>
      </c>
      <c r="H9" s="2" t="s">
        <v>45</v>
      </c>
      <c r="I9" s="3">
        <v>29.210526315789473</v>
      </c>
      <c r="K9" s="2" t="s">
        <v>45</v>
      </c>
      <c r="L9" s="3">
        <v>5.333333333333333</v>
      </c>
    </row>
    <row r="10" spans="1:12" x14ac:dyDescent="0.35">
      <c r="D10" s="2" t="s">
        <v>46</v>
      </c>
      <c r="E10" s="5">
        <v>15</v>
      </c>
      <c r="H10" s="2" t="s">
        <v>46</v>
      </c>
      <c r="I10" s="3">
        <v>37.266666666666666</v>
      </c>
      <c r="K10" s="2" t="s">
        <v>46</v>
      </c>
      <c r="L10" s="3">
        <v>5.6</v>
      </c>
    </row>
    <row r="11" spans="1:12" x14ac:dyDescent="0.35">
      <c r="A11" t="s">
        <v>5</v>
      </c>
      <c r="D11" s="2" t="s">
        <v>47</v>
      </c>
      <c r="E11" s="5">
        <v>15</v>
      </c>
      <c r="H11" s="2" t="s">
        <v>47</v>
      </c>
      <c r="I11" s="3">
        <v>34.133333333333333</v>
      </c>
      <c r="K11" s="2" t="s">
        <v>47</v>
      </c>
      <c r="L11" s="3">
        <v>8.4</v>
      </c>
    </row>
    <row r="12" spans="1:12" x14ac:dyDescent="0.35">
      <c r="A12" s="3">
        <v>4.7449664429530198</v>
      </c>
      <c r="D12" s="2" t="s">
        <v>48</v>
      </c>
      <c r="E12" s="5">
        <v>10</v>
      </c>
      <c r="H12" s="2" t="s">
        <v>48</v>
      </c>
      <c r="I12" s="3">
        <v>38.6</v>
      </c>
      <c r="K12" s="2" t="s">
        <v>48</v>
      </c>
      <c r="L12" s="3">
        <v>3</v>
      </c>
    </row>
    <row r="13" spans="1:12" x14ac:dyDescent="0.35">
      <c r="D13" s="2" t="s">
        <v>49</v>
      </c>
      <c r="E13" s="5">
        <v>19</v>
      </c>
      <c r="H13" s="2" t="s">
        <v>49</v>
      </c>
      <c r="I13" s="3">
        <v>36.05263157894737</v>
      </c>
      <c r="K13" s="2" t="s">
        <v>49</v>
      </c>
      <c r="L13" s="3">
        <v>5</v>
      </c>
    </row>
    <row r="14" spans="1:12" x14ac:dyDescent="0.35">
      <c r="D14" s="2" t="s">
        <v>50</v>
      </c>
      <c r="E14" s="5">
        <v>12</v>
      </c>
      <c r="H14" s="2" t="s">
        <v>50</v>
      </c>
      <c r="I14" s="3">
        <v>39.833333333333336</v>
      </c>
      <c r="K14" s="2" t="s">
        <v>50</v>
      </c>
      <c r="L14" s="3">
        <v>7</v>
      </c>
    </row>
    <row r="15" spans="1:12" x14ac:dyDescent="0.35">
      <c r="D15" s="2" t="s">
        <v>51</v>
      </c>
      <c r="E15" s="5">
        <v>20</v>
      </c>
      <c r="H15" s="2" t="s">
        <v>51</v>
      </c>
      <c r="I15" s="3">
        <v>34.700000000000003</v>
      </c>
      <c r="K15" s="2" t="s">
        <v>51</v>
      </c>
      <c r="L15" s="3">
        <v>5.2857142857142856</v>
      </c>
    </row>
    <row r="16" spans="1:12" x14ac:dyDescent="0.35">
      <c r="D16" s="2" t="s">
        <v>52</v>
      </c>
      <c r="E16" s="5">
        <v>18</v>
      </c>
      <c r="H16" s="2" t="s">
        <v>52</v>
      </c>
      <c r="I16" s="3">
        <v>41.055555555555557</v>
      </c>
      <c r="K16" s="2" t="s">
        <v>52</v>
      </c>
      <c r="L16" s="3">
        <v>3</v>
      </c>
    </row>
    <row r="17" spans="4:12" x14ac:dyDescent="0.35">
      <c r="D17" s="2" t="s">
        <v>53</v>
      </c>
      <c r="E17" s="5">
        <v>20</v>
      </c>
      <c r="H17" s="2" t="s">
        <v>53</v>
      </c>
      <c r="I17" s="3">
        <v>36.950000000000003</v>
      </c>
      <c r="K17" s="2" t="s">
        <v>53</v>
      </c>
      <c r="L17" s="3">
        <v>4.5</v>
      </c>
    </row>
    <row r="18" spans="4:12" x14ac:dyDescent="0.35">
      <c r="D18" s="2" t="s">
        <v>54</v>
      </c>
      <c r="E18" s="5">
        <v>11</v>
      </c>
      <c r="H18" s="2" t="s">
        <v>54</v>
      </c>
      <c r="I18" s="3">
        <v>38.18181818181818</v>
      </c>
      <c r="K18" s="2" t="s">
        <v>54</v>
      </c>
      <c r="L18" s="3">
        <v>6.25</v>
      </c>
    </row>
    <row r="19" spans="4:12" x14ac:dyDescent="0.35">
      <c r="D19" s="2" t="s">
        <v>55</v>
      </c>
      <c r="E19" s="5">
        <v>10</v>
      </c>
      <c r="H19" s="2" t="s">
        <v>55</v>
      </c>
      <c r="I19" s="3">
        <v>30.9</v>
      </c>
      <c r="K19" s="2" t="s">
        <v>55</v>
      </c>
      <c r="L19" s="3">
        <v>5</v>
      </c>
    </row>
    <row r="20" spans="4:12" x14ac:dyDescent="0.35">
      <c r="D20" s="2" t="s">
        <v>56</v>
      </c>
      <c r="E20" s="5">
        <v>14</v>
      </c>
      <c r="H20" s="2" t="s">
        <v>56</v>
      </c>
      <c r="I20" s="3">
        <v>27.571428571428573</v>
      </c>
      <c r="K20" s="2" t="s">
        <v>56</v>
      </c>
      <c r="L20" s="3">
        <v>6.8</v>
      </c>
    </row>
    <row r="21" spans="4:12" x14ac:dyDescent="0.35">
      <c r="D21" s="2" t="s">
        <v>57</v>
      </c>
      <c r="E21" s="5">
        <v>11</v>
      </c>
      <c r="H21" s="2" t="s">
        <v>57</v>
      </c>
      <c r="I21" s="3">
        <v>33.18181818181818</v>
      </c>
      <c r="K21" s="2" t="s">
        <v>57</v>
      </c>
      <c r="L21" s="3">
        <v>5</v>
      </c>
    </row>
    <row r="22" spans="4:12" x14ac:dyDescent="0.35">
      <c r="D22" s="2" t="s">
        <v>58</v>
      </c>
      <c r="E22" s="5">
        <v>25</v>
      </c>
      <c r="H22" s="2" t="s">
        <v>58</v>
      </c>
      <c r="I22" s="3">
        <v>34.28</v>
      </c>
      <c r="K22" s="2" t="s">
        <v>58</v>
      </c>
      <c r="L22" s="3">
        <v>4.7142857142857144</v>
      </c>
    </row>
    <row r="23" spans="4:12" x14ac:dyDescent="0.35">
      <c r="D23" s="2" t="s">
        <v>59</v>
      </c>
      <c r="E23" s="5">
        <v>17</v>
      </c>
      <c r="H23" s="2" t="s">
        <v>59</v>
      </c>
      <c r="I23" s="3">
        <v>39.764705882352942</v>
      </c>
      <c r="K23" s="2" t="s">
        <v>59</v>
      </c>
      <c r="L23" s="3">
        <v>6.7142857142857144</v>
      </c>
    </row>
    <row r="24" spans="4:12" x14ac:dyDescent="0.35">
      <c r="D24" s="2" t="s">
        <v>60</v>
      </c>
      <c r="E24" s="5">
        <v>22</v>
      </c>
      <c r="H24" s="2" t="s">
        <v>60</v>
      </c>
      <c r="I24" s="3">
        <v>31.954545454545453</v>
      </c>
      <c r="K24" s="2" t="s">
        <v>60</v>
      </c>
      <c r="L24" s="3">
        <v>1.5714285714285714</v>
      </c>
    </row>
    <row r="25" spans="4:12" x14ac:dyDescent="0.35">
      <c r="D25" s="2" t="s">
        <v>61</v>
      </c>
      <c r="E25" s="5">
        <v>18</v>
      </c>
      <c r="H25" s="2" t="s">
        <v>61</v>
      </c>
      <c r="I25" s="3">
        <v>30.166666666666668</v>
      </c>
      <c r="K25" s="2" t="s">
        <v>61</v>
      </c>
      <c r="L25" s="3">
        <v>5.125</v>
      </c>
    </row>
    <row r="26" spans="4:12" x14ac:dyDescent="0.35">
      <c r="D26" s="2" t="s">
        <v>62</v>
      </c>
      <c r="E26" s="5">
        <v>16</v>
      </c>
      <c r="H26" s="2" t="s">
        <v>62</v>
      </c>
      <c r="I26" s="3">
        <v>36.875</v>
      </c>
      <c r="K26" s="2" t="s">
        <v>62</v>
      </c>
      <c r="L26" s="3">
        <v>4.5</v>
      </c>
    </row>
    <row r="27" spans="4:12" x14ac:dyDescent="0.35">
      <c r="D27" s="2" t="s">
        <v>63</v>
      </c>
      <c r="E27" s="5">
        <v>14</v>
      </c>
      <c r="H27" s="2" t="s">
        <v>63</v>
      </c>
      <c r="I27" s="3">
        <v>38.714285714285715</v>
      </c>
      <c r="K27" s="2" t="s">
        <v>63</v>
      </c>
      <c r="L27" s="3">
        <v>5.666666666666667</v>
      </c>
    </row>
    <row r="28" spans="4:12" x14ac:dyDescent="0.35">
      <c r="D28" s="2" t="s">
        <v>64</v>
      </c>
      <c r="E28" s="5">
        <v>13</v>
      </c>
      <c r="H28" s="2" t="s">
        <v>64</v>
      </c>
      <c r="I28" s="3">
        <v>31.923076923076923</v>
      </c>
      <c r="K28" s="2" t="s">
        <v>64</v>
      </c>
      <c r="L28" s="3">
        <v>6.5</v>
      </c>
    </row>
    <row r="29" spans="4:12" x14ac:dyDescent="0.35">
      <c r="D29" s="2" t="s">
        <v>65</v>
      </c>
      <c r="E29" s="5">
        <v>15</v>
      </c>
      <c r="H29" s="2" t="s">
        <v>65</v>
      </c>
      <c r="I29" s="3">
        <v>29.6</v>
      </c>
      <c r="K29" s="2" t="s">
        <v>65</v>
      </c>
      <c r="L29" s="3">
        <v>4.333333333333333</v>
      </c>
    </row>
    <row r="30" spans="4:12" x14ac:dyDescent="0.35">
      <c r="D30" s="2" t="s">
        <v>66</v>
      </c>
      <c r="E30" s="5">
        <v>18</v>
      </c>
      <c r="H30" s="2" t="s">
        <v>66</v>
      </c>
      <c r="I30" s="3">
        <v>31.666666666666668</v>
      </c>
      <c r="K30" s="2" t="s">
        <v>66</v>
      </c>
      <c r="L30" s="3">
        <v>4</v>
      </c>
    </row>
    <row r="31" spans="4:12" x14ac:dyDescent="0.35">
      <c r="D31" s="2" t="s">
        <v>67</v>
      </c>
      <c r="E31" s="5">
        <v>10</v>
      </c>
      <c r="H31" s="2" t="s">
        <v>67</v>
      </c>
      <c r="I31" s="3">
        <v>42.6</v>
      </c>
      <c r="K31" s="2" t="s">
        <v>67</v>
      </c>
      <c r="L31" s="3">
        <v>4.5</v>
      </c>
    </row>
    <row r="32" spans="4:12" x14ac:dyDescent="0.35">
      <c r="D32" s="2" t="s">
        <v>68</v>
      </c>
      <c r="E32" s="5">
        <v>15</v>
      </c>
      <c r="H32" s="2" t="s">
        <v>68</v>
      </c>
      <c r="I32" s="3">
        <v>33.799999999999997</v>
      </c>
      <c r="K32" s="2" t="s">
        <v>68</v>
      </c>
      <c r="L32" s="3">
        <v>3.6666666666666665</v>
      </c>
    </row>
    <row r="33" spans="1:12" x14ac:dyDescent="0.35">
      <c r="D33" s="2" t="s">
        <v>69</v>
      </c>
      <c r="E33" s="5">
        <v>18</v>
      </c>
      <c r="H33" s="2" t="s">
        <v>69</v>
      </c>
      <c r="I33" s="3">
        <v>40.555555555555557</v>
      </c>
      <c r="K33" s="2" t="s">
        <v>69</v>
      </c>
      <c r="L33" s="3">
        <v>3.2</v>
      </c>
    </row>
    <row r="34" spans="1:12" x14ac:dyDescent="0.35">
      <c r="D34" s="2" t="s">
        <v>70</v>
      </c>
      <c r="E34" s="5">
        <v>16</v>
      </c>
      <c r="H34" s="2" t="s">
        <v>70</v>
      </c>
      <c r="I34" s="3">
        <v>26.75</v>
      </c>
      <c r="K34" s="2" t="s">
        <v>70</v>
      </c>
      <c r="L34" s="3">
        <v>2.6666666666666665</v>
      </c>
    </row>
    <row r="35" spans="1:12" x14ac:dyDescent="0.35">
      <c r="D35" s="2" t="s">
        <v>71</v>
      </c>
      <c r="E35" s="5">
        <v>20</v>
      </c>
      <c r="H35" s="2" t="s">
        <v>71</v>
      </c>
      <c r="I35" s="3">
        <v>35.049999999999997</v>
      </c>
      <c r="K35" s="2" t="s">
        <v>71</v>
      </c>
      <c r="L35" s="3">
        <v>5</v>
      </c>
    </row>
    <row r="36" spans="1:12" x14ac:dyDescent="0.35">
      <c r="D36" s="2" t="s">
        <v>3</v>
      </c>
      <c r="E36" s="5">
        <v>493</v>
      </c>
      <c r="H36" s="2" t="s">
        <v>3</v>
      </c>
      <c r="I36" s="3">
        <v>34.933062880324542</v>
      </c>
      <c r="K36" s="2" t="s">
        <v>3</v>
      </c>
      <c r="L36" s="3">
        <v>4.7449664429530198</v>
      </c>
    </row>
    <row r="40" spans="1:12" x14ac:dyDescent="0.35">
      <c r="A40" s="1" t="s">
        <v>2</v>
      </c>
      <c r="B40" t="s">
        <v>10</v>
      </c>
      <c r="C40" t="s">
        <v>13</v>
      </c>
    </row>
    <row r="41" spans="1:12" x14ac:dyDescent="0.35">
      <c r="A41" s="2" t="s">
        <v>11</v>
      </c>
      <c r="B41" s="8">
        <v>239</v>
      </c>
      <c r="C41" s="9">
        <v>0.48478701825557807</v>
      </c>
    </row>
    <row r="42" spans="1:12" x14ac:dyDescent="0.35">
      <c r="A42" s="2" t="s">
        <v>12</v>
      </c>
      <c r="B42" s="8">
        <v>254</v>
      </c>
      <c r="C42" s="9">
        <v>0.51521298174442187</v>
      </c>
    </row>
    <row r="43" spans="1:12" x14ac:dyDescent="0.35">
      <c r="A43" s="2" t="s">
        <v>3</v>
      </c>
      <c r="B43" s="8">
        <v>493</v>
      </c>
      <c r="C43" s="9">
        <v>1</v>
      </c>
    </row>
    <row r="47" spans="1:12" x14ac:dyDescent="0.35">
      <c r="A47" s="11" t="s">
        <v>14</v>
      </c>
      <c r="B47" s="11" t="s">
        <v>16</v>
      </c>
      <c r="C47" s="11" t="s">
        <v>15</v>
      </c>
      <c r="D47" s="10"/>
    </row>
    <row r="48" spans="1:12" x14ac:dyDescent="0.35">
      <c r="A48" s="12" t="str">
        <f>A42</f>
        <v>Not Admitted</v>
      </c>
      <c r="B48" s="12">
        <f t="shared" ref="B48:C48" si="0">B42</f>
        <v>254</v>
      </c>
      <c r="C48" s="13">
        <f t="shared" si="0"/>
        <v>0.51521298174442187</v>
      </c>
    </row>
    <row r="49" spans="1:8" x14ac:dyDescent="0.35">
      <c r="A49" s="12" t="str">
        <f>A41</f>
        <v>Admitted</v>
      </c>
      <c r="B49" s="12">
        <f t="shared" ref="B49:C49" si="1">B41</f>
        <v>239</v>
      </c>
      <c r="C49" s="13">
        <f t="shared" si="1"/>
        <v>0.48478701825557807</v>
      </c>
    </row>
    <row r="52" spans="1:8" x14ac:dyDescent="0.35">
      <c r="A52" s="1" t="s">
        <v>2</v>
      </c>
      <c r="B52" t="s">
        <v>25</v>
      </c>
      <c r="D52" s="1" t="s">
        <v>2</v>
      </c>
      <c r="E52" t="s">
        <v>9</v>
      </c>
      <c r="G52" s="1" t="s">
        <v>2</v>
      </c>
      <c r="H52" t="s">
        <v>39</v>
      </c>
    </row>
    <row r="53" spans="1:8" x14ac:dyDescent="0.35">
      <c r="A53" s="2" t="s">
        <v>17</v>
      </c>
      <c r="B53" s="8">
        <v>47</v>
      </c>
      <c r="D53" s="2" t="s">
        <v>27</v>
      </c>
      <c r="E53" s="8">
        <v>281</v>
      </c>
      <c r="G53" s="2" t="s">
        <v>32</v>
      </c>
      <c r="H53" s="8">
        <v>9</v>
      </c>
    </row>
    <row r="54" spans="1:8" x14ac:dyDescent="0.35">
      <c r="A54" s="2" t="s">
        <v>18</v>
      </c>
      <c r="B54" s="8">
        <v>67</v>
      </c>
      <c r="D54" s="2" t="s">
        <v>26</v>
      </c>
      <c r="E54" s="8">
        <v>212</v>
      </c>
      <c r="G54" s="2" t="s">
        <v>38</v>
      </c>
      <c r="H54" s="8">
        <v>9</v>
      </c>
    </row>
    <row r="55" spans="1:8" x14ac:dyDescent="0.35">
      <c r="A55" s="2" t="s">
        <v>19</v>
      </c>
      <c r="B55" s="8">
        <v>63</v>
      </c>
      <c r="D55" s="2" t="s">
        <v>3</v>
      </c>
      <c r="E55" s="8">
        <v>493</v>
      </c>
      <c r="G55" s="2" t="s">
        <v>31</v>
      </c>
      <c r="H55" s="8">
        <v>10</v>
      </c>
    </row>
    <row r="56" spans="1:8" x14ac:dyDescent="0.35">
      <c r="A56" s="2" t="s">
        <v>20</v>
      </c>
      <c r="B56" s="8">
        <v>55</v>
      </c>
      <c r="G56" s="2" t="s">
        <v>34</v>
      </c>
      <c r="H56" s="8">
        <v>11</v>
      </c>
    </row>
    <row r="57" spans="1:8" x14ac:dyDescent="0.35">
      <c r="A57" s="2" t="s">
        <v>21</v>
      </c>
      <c r="B57" s="8">
        <v>65</v>
      </c>
      <c r="G57" s="2" t="s">
        <v>37</v>
      </c>
      <c r="H57" s="8">
        <v>15</v>
      </c>
    </row>
    <row r="58" spans="1:8" x14ac:dyDescent="0.35">
      <c r="A58" s="2" t="s">
        <v>22</v>
      </c>
      <c r="B58" s="8">
        <v>66</v>
      </c>
      <c r="D58" s="1" t="s">
        <v>2</v>
      </c>
      <c r="E58" t="s">
        <v>30</v>
      </c>
      <c r="G58" s="2" t="s">
        <v>36</v>
      </c>
      <c r="H58" s="8">
        <v>61</v>
      </c>
    </row>
    <row r="59" spans="1:8" x14ac:dyDescent="0.35">
      <c r="A59" s="2" t="s">
        <v>23</v>
      </c>
      <c r="B59" s="8">
        <v>60</v>
      </c>
      <c r="D59" s="2" t="s">
        <v>28</v>
      </c>
      <c r="E59" s="3">
        <v>248</v>
      </c>
      <c r="G59" s="2" t="s">
        <v>33</v>
      </c>
      <c r="H59" s="8">
        <v>96</v>
      </c>
    </row>
    <row r="60" spans="1:8" x14ac:dyDescent="0.35">
      <c r="A60" s="2" t="s">
        <v>24</v>
      </c>
      <c r="B60" s="8">
        <v>70</v>
      </c>
      <c r="D60" s="2" t="s">
        <v>29</v>
      </c>
      <c r="E60" s="3">
        <v>245</v>
      </c>
      <c r="G60" s="2" t="s">
        <v>35</v>
      </c>
      <c r="H60" s="8">
        <v>282</v>
      </c>
    </row>
    <row r="61" spans="1:8" x14ac:dyDescent="0.35">
      <c r="A61" s="2" t="s">
        <v>3</v>
      </c>
      <c r="B61" s="8">
        <v>493</v>
      </c>
      <c r="D61" s="2" t="s">
        <v>3</v>
      </c>
      <c r="E61" s="8">
        <v>493</v>
      </c>
      <c r="G61" s="2" t="s">
        <v>3</v>
      </c>
      <c r="H61" s="8">
        <v>493</v>
      </c>
    </row>
    <row r="65" spans="1:1" x14ac:dyDescent="0.35">
      <c r="A65" s="1" t="s">
        <v>2</v>
      </c>
    </row>
    <row r="66" spans="1:1" x14ac:dyDescent="0.35">
      <c r="A66" s="2" t="s">
        <v>40</v>
      </c>
    </row>
    <row r="67" spans="1:1" x14ac:dyDescent="0.35">
      <c r="A67" s="2" t="s">
        <v>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3EBAB-E4AD-46AC-B487-9A65BD6BD6A2}">
  <dimension ref="A1:T24"/>
  <sheetViews>
    <sheetView tabSelected="1" workbookViewId="0">
      <selection activeCell="R5" sqref="R5"/>
    </sheetView>
  </sheetViews>
  <sheetFormatPr defaultRowHeight="14.5" x14ac:dyDescent="0.35"/>
  <sheetData>
    <row r="1" spans="1:20" x14ac:dyDescent="0.35">
      <c r="A1" s="4"/>
      <c r="B1" s="4"/>
      <c r="C1" s="4"/>
      <c r="D1" s="4"/>
      <c r="E1" s="4"/>
      <c r="F1" s="4"/>
      <c r="G1" s="4"/>
      <c r="H1" s="4"/>
      <c r="I1" s="4"/>
      <c r="J1" s="4"/>
      <c r="K1" s="4"/>
      <c r="L1" s="4"/>
      <c r="M1" s="4"/>
      <c r="N1" s="4"/>
      <c r="O1" s="4"/>
      <c r="P1" s="4"/>
      <c r="Q1" s="4"/>
      <c r="R1" s="4"/>
      <c r="S1" s="4"/>
      <c r="T1" s="4"/>
    </row>
    <row r="2" spans="1:20" x14ac:dyDescent="0.35">
      <c r="A2" s="4"/>
      <c r="B2" s="4"/>
      <c r="C2" s="4"/>
      <c r="D2" s="4"/>
      <c r="E2" s="4"/>
      <c r="F2" s="4"/>
      <c r="G2" s="4"/>
      <c r="H2" s="4"/>
      <c r="I2" s="4"/>
      <c r="J2" s="4"/>
      <c r="K2" s="4"/>
      <c r="L2" s="4"/>
      <c r="M2" s="4"/>
      <c r="N2" s="4"/>
      <c r="O2" s="4"/>
      <c r="P2" s="4"/>
      <c r="Q2" s="4"/>
      <c r="R2" s="4"/>
      <c r="S2" s="4"/>
      <c r="T2" s="4"/>
    </row>
    <row r="3" spans="1:20" x14ac:dyDescent="0.35">
      <c r="A3" s="4"/>
      <c r="B3" s="4"/>
      <c r="C3" s="4"/>
      <c r="D3" s="4"/>
      <c r="E3" s="4"/>
      <c r="F3" s="4"/>
      <c r="G3" s="4"/>
      <c r="H3" s="4"/>
      <c r="I3" s="4"/>
      <c r="J3" s="4"/>
      <c r="K3" s="4"/>
      <c r="L3" s="4"/>
      <c r="M3" s="4"/>
      <c r="N3" s="4"/>
      <c r="O3" s="4"/>
      <c r="P3" s="4"/>
      <c r="Q3" s="4"/>
      <c r="R3" s="4"/>
      <c r="S3" s="4"/>
      <c r="T3" s="4"/>
    </row>
    <row r="4" spans="1:20" x14ac:dyDescent="0.35">
      <c r="A4" s="4"/>
      <c r="B4" s="4"/>
      <c r="C4" s="4"/>
      <c r="D4" s="4"/>
      <c r="E4" s="4"/>
      <c r="F4" s="4"/>
      <c r="G4" s="4"/>
      <c r="H4" s="4"/>
      <c r="I4" s="4"/>
      <c r="J4" s="4"/>
      <c r="K4" s="4"/>
      <c r="L4" s="4"/>
      <c r="M4" s="4"/>
      <c r="N4" s="4"/>
      <c r="O4" s="4"/>
      <c r="P4" s="4"/>
      <c r="Q4" s="4"/>
      <c r="R4" s="4"/>
      <c r="S4" s="4"/>
      <c r="T4" s="4"/>
    </row>
    <row r="5" spans="1:20" x14ac:dyDescent="0.35">
      <c r="A5" s="4"/>
      <c r="B5" s="4"/>
      <c r="C5" s="4"/>
      <c r="D5" s="4"/>
      <c r="E5" s="4"/>
      <c r="F5" s="4"/>
      <c r="G5" s="4"/>
      <c r="H5" s="4"/>
      <c r="I5" s="4"/>
      <c r="J5" s="4"/>
      <c r="K5" s="4"/>
      <c r="L5" s="4"/>
      <c r="M5" s="4"/>
      <c r="N5" s="4"/>
      <c r="O5" s="4"/>
      <c r="P5" s="4"/>
      <c r="Q5" s="4"/>
      <c r="R5" s="4"/>
      <c r="S5" s="4"/>
      <c r="T5" s="4"/>
    </row>
    <row r="6" spans="1:20" x14ac:dyDescent="0.35">
      <c r="A6" s="4"/>
      <c r="B6" s="4"/>
      <c r="C6" s="4"/>
      <c r="D6" s="4"/>
      <c r="E6" s="4"/>
      <c r="F6" s="4"/>
      <c r="G6" s="4"/>
      <c r="H6" s="4"/>
      <c r="I6" s="4"/>
      <c r="J6" s="4"/>
      <c r="K6" s="4"/>
      <c r="L6" s="4"/>
      <c r="M6" s="4"/>
      <c r="N6" s="4"/>
      <c r="O6" s="4"/>
      <c r="P6" s="4"/>
      <c r="Q6" s="4"/>
      <c r="R6" s="4"/>
      <c r="S6" s="4"/>
      <c r="T6" s="4"/>
    </row>
    <row r="7" spans="1:20" x14ac:dyDescent="0.35">
      <c r="A7" s="4"/>
      <c r="B7" s="4"/>
      <c r="C7" s="4"/>
      <c r="D7" s="4"/>
      <c r="E7" s="4"/>
      <c r="F7" s="4"/>
      <c r="G7" s="4"/>
      <c r="H7" s="4"/>
      <c r="I7" s="4"/>
      <c r="J7" s="4"/>
      <c r="K7" s="4"/>
      <c r="L7" s="4"/>
      <c r="M7" s="4"/>
      <c r="N7" s="4"/>
      <c r="O7" s="4"/>
      <c r="P7" s="4"/>
      <c r="Q7" s="4"/>
      <c r="R7" s="4"/>
      <c r="S7" s="4"/>
      <c r="T7" s="4"/>
    </row>
    <row r="8" spans="1:20" x14ac:dyDescent="0.35">
      <c r="A8" s="4"/>
      <c r="B8" s="4"/>
      <c r="C8" s="4"/>
      <c r="D8" s="4"/>
      <c r="E8" s="4"/>
      <c r="F8" s="4"/>
      <c r="G8" s="4"/>
      <c r="H8" s="4"/>
      <c r="I8" s="4"/>
      <c r="J8" s="4"/>
      <c r="K8" s="4"/>
      <c r="L8" s="4"/>
      <c r="M8" s="4"/>
      <c r="N8" s="4"/>
      <c r="O8" s="4"/>
      <c r="P8" s="4"/>
      <c r="Q8" s="4"/>
      <c r="R8" s="4"/>
      <c r="S8" s="4"/>
      <c r="T8" s="4"/>
    </row>
    <row r="9" spans="1:20" x14ac:dyDescent="0.35">
      <c r="A9" s="4"/>
      <c r="B9" s="4"/>
      <c r="C9" s="4"/>
      <c r="D9" s="4"/>
      <c r="E9" s="4"/>
      <c r="F9" s="4"/>
      <c r="G9" s="4"/>
      <c r="H9" s="4"/>
      <c r="I9" s="4"/>
      <c r="J9" s="4"/>
      <c r="K9" s="4"/>
      <c r="L9" s="4"/>
      <c r="M9" s="4"/>
      <c r="N9" s="4"/>
      <c r="O9" s="4"/>
      <c r="P9" s="4"/>
      <c r="Q9" s="4"/>
      <c r="R9" s="4"/>
      <c r="S9" s="4"/>
      <c r="T9" s="4"/>
    </row>
    <row r="10" spans="1:20" x14ac:dyDescent="0.35">
      <c r="A10" s="4"/>
      <c r="B10" s="4"/>
      <c r="C10" s="4"/>
      <c r="D10" s="4"/>
      <c r="E10" s="4"/>
      <c r="F10" s="4"/>
      <c r="G10" s="4"/>
      <c r="H10" s="4"/>
      <c r="I10" s="4"/>
      <c r="J10" s="4"/>
      <c r="K10" s="4"/>
      <c r="L10" s="4"/>
      <c r="M10" s="4"/>
      <c r="N10" s="4"/>
      <c r="O10" s="4"/>
      <c r="P10" s="4"/>
      <c r="Q10" s="4"/>
      <c r="R10" s="4"/>
      <c r="S10" s="4"/>
      <c r="T10" s="4"/>
    </row>
    <row r="11" spans="1:20" x14ac:dyDescent="0.35">
      <c r="A11" s="4"/>
      <c r="B11" s="4"/>
      <c r="C11" s="4"/>
      <c r="D11" s="4"/>
      <c r="E11" s="4"/>
      <c r="F11" s="4"/>
      <c r="G11" s="4"/>
      <c r="H11" s="4"/>
      <c r="I11" s="4"/>
      <c r="J11" s="4"/>
      <c r="K11" s="4"/>
      <c r="L11" s="4"/>
      <c r="M11" s="4"/>
      <c r="N11" s="4"/>
      <c r="O11" s="4"/>
      <c r="P11" s="4"/>
      <c r="Q11" s="4"/>
      <c r="R11" s="4"/>
      <c r="S11" s="4"/>
      <c r="T11" s="4"/>
    </row>
    <row r="12" spans="1:20" x14ac:dyDescent="0.35">
      <c r="A12" s="4"/>
      <c r="B12" s="4"/>
      <c r="C12" s="4"/>
      <c r="D12" s="4"/>
      <c r="E12" s="4"/>
      <c r="F12" s="4"/>
      <c r="G12" s="4"/>
      <c r="H12" s="4"/>
      <c r="I12" s="4"/>
      <c r="J12" s="4"/>
      <c r="K12" s="4"/>
      <c r="L12" s="4"/>
      <c r="M12" s="4"/>
      <c r="N12" s="4"/>
      <c r="O12" s="4"/>
      <c r="P12" s="4"/>
      <c r="Q12" s="4"/>
      <c r="R12" s="4"/>
      <c r="S12" s="4"/>
      <c r="T12" s="4"/>
    </row>
    <row r="13" spans="1:20" x14ac:dyDescent="0.35">
      <c r="A13" s="4"/>
      <c r="B13" s="4"/>
      <c r="C13" s="4"/>
      <c r="D13" s="4"/>
      <c r="E13" s="4"/>
      <c r="F13" s="4"/>
      <c r="G13" s="4"/>
      <c r="H13" s="4"/>
      <c r="I13" s="4"/>
      <c r="J13" s="4"/>
      <c r="K13" s="4"/>
      <c r="L13" s="4"/>
      <c r="M13" s="4"/>
      <c r="N13" s="4"/>
      <c r="O13" s="4"/>
      <c r="P13" s="4"/>
      <c r="Q13" s="4"/>
      <c r="R13" s="4"/>
      <c r="S13" s="4"/>
      <c r="T13" s="4"/>
    </row>
    <row r="14" spans="1:20" x14ac:dyDescent="0.35">
      <c r="A14" s="4"/>
      <c r="B14" s="4"/>
      <c r="C14" s="4"/>
      <c r="D14" s="4"/>
      <c r="E14" s="4"/>
      <c r="F14" s="4"/>
      <c r="G14" s="4"/>
      <c r="H14" s="4"/>
      <c r="I14" s="4"/>
      <c r="J14" s="4"/>
      <c r="K14" s="4"/>
      <c r="L14" s="4"/>
      <c r="M14" s="4"/>
      <c r="N14" s="4"/>
      <c r="O14" s="4"/>
      <c r="P14" s="4"/>
      <c r="Q14" s="4"/>
      <c r="R14" s="4"/>
      <c r="S14" s="4"/>
      <c r="T14" s="4"/>
    </row>
    <row r="15" spans="1:20" x14ac:dyDescent="0.35">
      <c r="A15" s="4"/>
      <c r="B15" s="4"/>
      <c r="C15" s="4"/>
      <c r="D15" s="4"/>
      <c r="E15" s="4"/>
      <c r="F15" s="4"/>
      <c r="G15" s="4"/>
      <c r="H15" s="4"/>
      <c r="I15" s="4"/>
      <c r="J15" s="4"/>
      <c r="K15" s="4"/>
      <c r="L15" s="4"/>
      <c r="M15" s="4"/>
      <c r="N15" s="4"/>
      <c r="O15" s="4"/>
      <c r="P15" s="4"/>
      <c r="Q15" s="4"/>
      <c r="R15" s="4"/>
      <c r="S15" s="4"/>
      <c r="T15" s="4"/>
    </row>
    <row r="16" spans="1:20" x14ac:dyDescent="0.35">
      <c r="A16" s="4"/>
      <c r="B16" s="4"/>
      <c r="C16" s="4"/>
      <c r="D16" s="4"/>
      <c r="E16" s="4"/>
      <c r="F16" s="4"/>
      <c r="G16" s="4"/>
      <c r="H16" s="4"/>
      <c r="I16" s="4"/>
      <c r="J16" s="4"/>
      <c r="K16" s="4"/>
      <c r="L16" s="4"/>
      <c r="M16" s="4"/>
      <c r="N16" s="4"/>
      <c r="O16" s="4"/>
      <c r="P16" s="4"/>
      <c r="Q16" s="4"/>
      <c r="R16" s="4"/>
      <c r="S16" s="4"/>
      <c r="T16" s="4"/>
    </row>
    <row r="17" spans="1:20" x14ac:dyDescent="0.35">
      <c r="A17" s="4"/>
      <c r="B17" s="4"/>
      <c r="C17" s="4"/>
      <c r="D17" s="4"/>
      <c r="E17" s="4"/>
      <c r="F17" s="4"/>
      <c r="G17" s="4"/>
      <c r="H17" s="4"/>
      <c r="I17" s="4"/>
      <c r="J17" s="4"/>
      <c r="K17" s="4"/>
      <c r="L17" s="4"/>
      <c r="M17" s="4"/>
      <c r="N17" s="4"/>
      <c r="O17" s="4"/>
      <c r="P17" s="4"/>
      <c r="Q17" s="4"/>
      <c r="R17" s="4"/>
      <c r="S17" s="4"/>
      <c r="T17" s="4"/>
    </row>
    <row r="18" spans="1:20" x14ac:dyDescent="0.35">
      <c r="A18" s="4"/>
      <c r="B18" s="4"/>
      <c r="C18" s="4"/>
      <c r="D18" s="4"/>
      <c r="E18" s="4"/>
      <c r="F18" s="4"/>
      <c r="G18" s="4"/>
      <c r="H18" s="4"/>
      <c r="I18" s="4"/>
      <c r="J18" s="4"/>
      <c r="K18" s="4"/>
      <c r="L18" s="4"/>
      <c r="M18" s="4"/>
      <c r="N18" s="4"/>
      <c r="O18" s="4"/>
      <c r="P18" s="4"/>
      <c r="Q18" s="4"/>
      <c r="R18" s="4"/>
      <c r="S18" s="4"/>
      <c r="T18" s="4"/>
    </row>
    <row r="19" spans="1:20" x14ac:dyDescent="0.35">
      <c r="A19" s="4"/>
      <c r="B19" s="4"/>
      <c r="C19" s="4"/>
      <c r="D19" s="4"/>
      <c r="E19" s="4"/>
      <c r="F19" s="4"/>
      <c r="G19" s="4"/>
      <c r="H19" s="4"/>
      <c r="I19" s="4"/>
      <c r="J19" s="4"/>
      <c r="K19" s="4"/>
      <c r="L19" s="4"/>
      <c r="M19" s="4"/>
      <c r="N19" s="4"/>
      <c r="O19" s="4"/>
      <c r="P19" s="4"/>
      <c r="Q19" s="4"/>
      <c r="R19" s="4"/>
      <c r="S19" s="4"/>
      <c r="T19" s="4"/>
    </row>
    <row r="20" spans="1:20" x14ac:dyDescent="0.35">
      <c r="A20" s="4"/>
      <c r="B20" s="4"/>
      <c r="C20" s="4"/>
      <c r="D20" s="4"/>
      <c r="E20" s="4"/>
      <c r="F20" s="4"/>
      <c r="G20" s="4"/>
      <c r="H20" s="4"/>
      <c r="I20" s="4"/>
      <c r="J20" s="4"/>
      <c r="K20" s="4"/>
      <c r="L20" s="4"/>
      <c r="M20" s="4"/>
      <c r="N20" s="4"/>
      <c r="O20" s="4"/>
      <c r="P20" s="4"/>
      <c r="Q20" s="4"/>
      <c r="R20" s="4"/>
      <c r="S20" s="4"/>
      <c r="T20" s="4"/>
    </row>
    <row r="21" spans="1:20" x14ac:dyDescent="0.35">
      <c r="A21" s="4"/>
      <c r="B21" s="4"/>
      <c r="C21" s="4"/>
      <c r="D21" s="4"/>
      <c r="E21" s="4"/>
      <c r="F21" s="4"/>
      <c r="G21" s="4"/>
      <c r="H21" s="4"/>
      <c r="I21" s="4"/>
      <c r="J21" s="4"/>
      <c r="K21" s="4"/>
      <c r="L21" s="4"/>
      <c r="M21" s="4"/>
      <c r="N21" s="4"/>
      <c r="O21" s="4"/>
      <c r="P21" s="4"/>
      <c r="Q21" s="4"/>
      <c r="R21" s="4"/>
      <c r="S21" s="4"/>
      <c r="T21" s="4"/>
    </row>
    <row r="22" spans="1:20" x14ac:dyDescent="0.35">
      <c r="A22" s="4"/>
      <c r="B22" s="4"/>
      <c r="C22" s="4"/>
      <c r="D22" s="4"/>
      <c r="E22" s="4"/>
      <c r="F22" s="4"/>
      <c r="G22" s="4"/>
      <c r="H22" s="4"/>
      <c r="I22" s="4"/>
      <c r="J22" s="4"/>
      <c r="K22" s="4"/>
      <c r="L22" s="4"/>
      <c r="M22" s="4"/>
      <c r="N22" s="4"/>
      <c r="O22" s="4"/>
      <c r="P22" s="4"/>
      <c r="Q22" s="4"/>
      <c r="R22" s="4"/>
      <c r="S22" s="4"/>
      <c r="T22" s="4"/>
    </row>
    <row r="23" spans="1:20" x14ac:dyDescent="0.35">
      <c r="A23" s="4"/>
      <c r="B23" s="4"/>
      <c r="C23" s="4"/>
      <c r="D23" s="4"/>
      <c r="E23" s="4"/>
      <c r="F23" s="4"/>
      <c r="G23" s="4"/>
      <c r="H23" s="4"/>
      <c r="I23" s="4"/>
      <c r="J23" s="4"/>
      <c r="K23" s="4"/>
      <c r="L23" s="4"/>
      <c r="M23" s="4"/>
      <c r="N23" s="4"/>
      <c r="O23" s="4"/>
      <c r="P23" s="4"/>
      <c r="Q23" s="4"/>
      <c r="R23" s="4"/>
      <c r="S23" s="4"/>
      <c r="T23" s="4"/>
    </row>
    <row r="24" spans="1:20" x14ac:dyDescent="0.35">
      <c r="A24" s="4"/>
      <c r="B24" s="4"/>
      <c r="C24" s="4"/>
      <c r="D24" s="4"/>
      <c r="E24" s="4"/>
      <c r="F24" s="4"/>
      <c r="G24" s="4"/>
      <c r="H24" s="4"/>
      <c r="I24" s="4"/>
      <c r="J24" s="4"/>
      <c r="K24" s="4"/>
      <c r="L24" s="4"/>
      <c r="M24" s="4"/>
      <c r="N24" s="4"/>
      <c r="O24" s="4"/>
      <c r="P24" s="4"/>
      <c r="Q24" s="4"/>
      <c r="R24" s="4"/>
      <c r="S24" s="4"/>
      <c r="T24"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F359-7372-426C-AAC9-B348D92C7E32}">
  <dimension ref="A1:T24"/>
  <sheetViews>
    <sheetView workbookViewId="0"/>
  </sheetViews>
  <sheetFormatPr defaultRowHeight="14.5" x14ac:dyDescent="0.35"/>
  <sheetData>
    <row r="1" spans="1:20" x14ac:dyDescent="0.35">
      <c r="A1" s="6"/>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6"/>
      <c r="C22" s="6"/>
      <c r="D22" s="6"/>
      <c r="E22" s="6"/>
      <c r="F22" s="6"/>
      <c r="G22" s="6"/>
      <c r="H22" s="6"/>
      <c r="I22" s="6"/>
      <c r="J22" s="6"/>
      <c r="K22" s="6"/>
      <c r="L22" s="6"/>
      <c r="M22" s="6"/>
      <c r="N22" s="6"/>
      <c r="O22" s="6"/>
      <c r="P22" s="6"/>
      <c r="Q22" s="6"/>
      <c r="R22" s="6"/>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6"/>
      <c r="C24" s="6"/>
      <c r="D24" s="7"/>
      <c r="E24" s="6"/>
      <c r="F24" s="6"/>
      <c r="G24" s="6"/>
      <c r="H24" s="6"/>
      <c r="I24" s="6"/>
      <c r="J24" s="6"/>
      <c r="K24" s="6"/>
      <c r="L24" s="6"/>
      <c r="M24" s="6"/>
      <c r="N24" s="6"/>
      <c r="O24" s="6"/>
      <c r="P24" s="6"/>
      <c r="Q24" s="6"/>
      <c r="R24" s="6"/>
      <c r="S24" s="6"/>
      <c r="T24"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49F6-15F9-4C08-B7C1-6697F28F2510}">
  <dimension ref="A1:T24"/>
  <sheetViews>
    <sheetView workbookViewId="0"/>
  </sheetViews>
  <sheetFormatPr defaultRowHeight="14.5" x14ac:dyDescent="0.35"/>
  <sheetData>
    <row r="1" spans="1:20" x14ac:dyDescent="0.35">
      <c r="A1" s="7"/>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row r="14" spans="1:20" x14ac:dyDescent="0.35">
      <c r="A14" s="7"/>
      <c r="B14" s="7"/>
      <c r="C14" s="7"/>
      <c r="D14" s="7"/>
      <c r="E14" s="7"/>
      <c r="F14" s="7"/>
      <c r="G14" s="7"/>
      <c r="H14" s="7"/>
      <c r="I14" s="7"/>
      <c r="J14" s="7"/>
      <c r="K14" s="7"/>
      <c r="L14" s="7"/>
      <c r="M14" s="7"/>
      <c r="N14" s="7"/>
      <c r="O14" s="7"/>
      <c r="P14" s="7"/>
      <c r="Q14" s="7"/>
      <c r="R14" s="7"/>
      <c r="S14" s="7"/>
      <c r="T14" s="7"/>
    </row>
    <row r="15" spans="1:20" x14ac:dyDescent="0.35">
      <c r="A15" s="7"/>
      <c r="B15" s="7"/>
      <c r="C15" s="7"/>
      <c r="D15" s="7"/>
      <c r="E15" s="7"/>
      <c r="F15" s="7"/>
      <c r="G15" s="7"/>
      <c r="H15" s="7"/>
      <c r="I15" s="7"/>
      <c r="J15" s="7"/>
      <c r="K15" s="7"/>
      <c r="L15" s="7"/>
      <c r="M15" s="7"/>
      <c r="N15" s="7"/>
      <c r="O15" s="7"/>
      <c r="P15" s="7"/>
      <c r="Q15" s="7"/>
      <c r="R15" s="7"/>
      <c r="S15" s="7"/>
      <c r="T15" s="7"/>
    </row>
    <row r="16" spans="1:20" x14ac:dyDescent="0.35">
      <c r="A16" s="7"/>
      <c r="B16" s="7"/>
      <c r="C16" s="7"/>
      <c r="D16" s="7"/>
      <c r="E16" s="7"/>
      <c r="F16" s="7"/>
      <c r="G16" s="7"/>
      <c r="H16" s="7"/>
      <c r="I16" s="7"/>
      <c r="J16" s="7"/>
      <c r="K16" s="7"/>
      <c r="L16" s="7"/>
      <c r="M16" s="7"/>
      <c r="N16" s="7"/>
      <c r="O16" s="7"/>
      <c r="P16" s="7"/>
      <c r="Q16" s="7"/>
      <c r="R16" s="7"/>
      <c r="S16" s="7"/>
      <c r="T16" s="7"/>
    </row>
    <row r="17" spans="1:20" x14ac:dyDescent="0.35">
      <c r="A17" s="7"/>
      <c r="B17" s="7"/>
      <c r="C17" s="7"/>
      <c r="D17" s="7"/>
      <c r="E17" s="7"/>
      <c r="F17" s="7"/>
      <c r="G17" s="7"/>
      <c r="H17" s="7"/>
      <c r="I17" s="7"/>
      <c r="J17" s="7"/>
      <c r="K17" s="7"/>
      <c r="L17" s="7"/>
      <c r="M17" s="7"/>
      <c r="N17" s="7"/>
      <c r="O17" s="7"/>
      <c r="P17" s="7"/>
      <c r="Q17" s="7"/>
      <c r="R17" s="7"/>
      <c r="S17" s="7"/>
      <c r="T17" s="7"/>
    </row>
    <row r="18" spans="1:20" x14ac:dyDescent="0.35">
      <c r="A18" s="7"/>
      <c r="B18" s="7"/>
      <c r="C18" s="7"/>
      <c r="D18" s="7"/>
      <c r="E18" s="7"/>
      <c r="F18" s="7"/>
      <c r="G18" s="7"/>
      <c r="H18" s="7"/>
      <c r="I18" s="7"/>
      <c r="J18" s="7"/>
      <c r="K18" s="7"/>
      <c r="L18" s="7"/>
      <c r="M18" s="7"/>
      <c r="N18" s="7"/>
      <c r="O18" s="7"/>
      <c r="P18" s="7"/>
      <c r="Q18" s="7"/>
      <c r="R18" s="7"/>
      <c r="S18" s="7"/>
      <c r="T18" s="7"/>
    </row>
    <row r="19" spans="1:20" x14ac:dyDescent="0.35">
      <c r="A19" s="7"/>
      <c r="B19" s="7"/>
      <c r="C19" s="7"/>
      <c r="D19" s="7"/>
      <c r="E19" s="7"/>
      <c r="F19" s="7"/>
      <c r="G19" s="7"/>
      <c r="H19" s="7"/>
      <c r="I19" s="7"/>
      <c r="J19" s="7"/>
      <c r="K19" s="7"/>
      <c r="L19" s="7"/>
      <c r="M19" s="7"/>
      <c r="N19" s="7"/>
      <c r="O19" s="7"/>
      <c r="P19" s="7"/>
      <c r="Q19" s="7"/>
      <c r="R19" s="7"/>
      <c r="S19" s="7"/>
      <c r="T19" s="7"/>
    </row>
    <row r="20" spans="1:20" x14ac:dyDescent="0.35">
      <c r="A20" s="7"/>
      <c r="B20" s="7"/>
      <c r="C20" s="7"/>
      <c r="D20" s="7"/>
      <c r="E20" s="7"/>
      <c r="F20" s="7"/>
      <c r="G20" s="7"/>
      <c r="H20" s="7"/>
      <c r="I20" s="7"/>
      <c r="J20" s="7"/>
      <c r="K20" s="7"/>
      <c r="L20" s="7"/>
      <c r="M20" s="7"/>
      <c r="N20" s="7"/>
      <c r="O20" s="7"/>
      <c r="P20" s="7"/>
      <c r="Q20" s="7"/>
      <c r="R20" s="7"/>
      <c r="S20" s="7"/>
      <c r="T20" s="7"/>
    </row>
    <row r="21" spans="1:20" x14ac:dyDescent="0.35">
      <c r="A21" s="7"/>
      <c r="B21" s="7"/>
      <c r="C21" s="7"/>
      <c r="D21" s="7"/>
      <c r="E21" s="7"/>
      <c r="F21" s="7"/>
      <c r="G21" s="7"/>
      <c r="H21" s="7"/>
      <c r="I21" s="7"/>
      <c r="J21" s="7"/>
      <c r="K21" s="7"/>
      <c r="L21" s="7"/>
      <c r="M21" s="7"/>
      <c r="N21" s="7"/>
      <c r="O21" s="7"/>
      <c r="P21" s="7"/>
      <c r="Q21" s="7"/>
      <c r="R21" s="7"/>
      <c r="S21" s="7"/>
      <c r="T21" s="7"/>
    </row>
    <row r="22" spans="1:20" x14ac:dyDescent="0.35">
      <c r="A22" s="7"/>
      <c r="B22" s="7"/>
      <c r="C22" s="7"/>
      <c r="D22" s="7"/>
      <c r="E22" s="7"/>
      <c r="F22" s="7"/>
      <c r="G22" s="7"/>
      <c r="H22" s="7"/>
      <c r="I22" s="7"/>
      <c r="J22" s="7"/>
      <c r="K22" s="7"/>
      <c r="L22" s="7"/>
      <c r="M22" s="7"/>
      <c r="N22" s="7"/>
      <c r="O22" s="7"/>
      <c r="P22" s="7"/>
      <c r="Q22" s="7"/>
      <c r="R22" s="7"/>
      <c r="S22" s="7"/>
      <c r="T22" s="7"/>
    </row>
    <row r="23" spans="1:20" x14ac:dyDescent="0.35">
      <c r="A23" s="7"/>
      <c r="B23" s="7"/>
      <c r="C23" s="7"/>
      <c r="D23" s="7"/>
      <c r="E23" s="7"/>
      <c r="F23" s="7"/>
      <c r="G23" s="7"/>
      <c r="H23" s="7"/>
      <c r="I23" s="7"/>
      <c r="J23" s="7"/>
      <c r="K23" s="7"/>
      <c r="L23" s="7"/>
      <c r="M23" s="7"/>
      <c r="N23" s="7"/>
      <c r="O23" s="7"/>
      <c r="P23" s="7"/>
      <c r="Q23" s="7"/>
      <c r="R23" s="7"/>
      <c r="S23" s="7"/>
      <c r="T23" s="7"/>
    </row>
    <row r="24" spans="1:20" x14ac:dyDescent="0.35">
      <c r="A24" s="7"/>
      <c r="B24" s="7"/>
      <c r="C24" s="7"/>
      <c r="D24" s="7"/>
      <c r="E24" s="7"/>
      <c r="F24" s="7"/>
      <c r="G24" s="7"/>
      <c r="H24" s="7"/>
      <c r="I24" s="7"/>
      <c r="J24" s="7"/>
      <c r="K24" s="7"/>
      <c r="L24" s="7"/>
      <c r="M24" s="7"/>
      <c r="N24" s="7"/>
      <c r="O24" s="7"/>
      <c r="P24" s="7"/>
      <c r="Q24" s="7"/>
      <c r="R24" s="7"/>
      <c r="S24" s="7"/>
      <c r="T24"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00FC8-E121-4D3B-96B3-2DD429051453}">
  <dimension ref="A1:T24"/>
  <sheetViews>
    <sheetView workbookViewId="0">
      <selection activeCell="E4" sqref="E4"/>
    </sheetView>
  </sheetViews>
  <sheetFormatPr defaultRowHeight="14.5" x14ac:dyDescent="0.35"/>
  <sheetData>
    <row r="1" spans="1:20" x14ac:dyDescent="0.35">
      <c r="A1" s="7"/>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x14ac:dyDescent="0.35">
      <c r="A3" s="7"/>
      <c r="B3" s="7"/>
      <c r="C3" s="7"/>
      <c r="D3" s="7"/>
      <c r="E3" s="7"/>
      <c r="F3" s="7"/>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row r="14" spans="1:20" x14ac:dyDescent="0.35">
      <c r="A14" s="7"/>
      <c r="B14" s="7"/>
      <c r="C14" s="7"/>
      <c r="D14" s="7"/>
      <c r="E14" s="7"/>
      <c r="F14" s="7"/>
      <c r="G14" s="7"/>
      <c r="H14" s="7"/>
      <c r="I14" s="7"/>
      <c r="J14" s="7"/>
      <c r="K14" s="7"/>
      <c r="L14" s="7"/>
      <c r="M14" s="7"/>
      <c r="N14" s="7"/>
      <c r="O14" s="7"/>
      <c r="P14" s="7"/>
      <c r="Q14" s="7"/>
      <c r="R14" s="7"/>
      <c r="S14" s="7"/>
      <c r="T14" s="7"/>
    </row>
    <row r="15" spans="1:20" x14ac:dyDescent="0.35">
      <c r="A15" s="7"/>
      <c r="B15" s="7"/>
      <c r="C15" s="7"/>
      <c r="D15" s="7"/>
      <c r="E15" s="7"/>
      <c r="F15" s="7"/>
      <c r="G15" s="7"/>
      <c r="H15" s="7"/>
      <c r="I15" s="7"/>
      <c r="J15" s="7"/>
      <c r="K15" s="7"/>
      <c r="L15" s="7"/>
      <c r="M15" s="7"/>
      <c r="N15" s="7"/>
      <c r="O15" s="7"/>
      <c r="P15" s="7"/>
      <c r="Q15" s="7"/>
      <c r="R15" s="7"/>
      <c r="S15" s="7"/>
      <c r="T15" s="7"/>
    </row>
    <row r="16" spans="1:20" x14ac:dyDescent="0.35">
      <c r="A16" s="7"/>
      <c r="B16" s="7"/>
      <c r="C16" s="7"/>
      <c r="D16" s="7"/>
      <c r="E16" s="7"/>
      <c r="F16" s="7"/>
      <c r="G16" s="7"/>
      <c r="H16" s="7"/>
      <c r="I16" s="7"/>
      <c r="J16" s="7"/>
      <c r="K16" s="7"/>
      <c r="L16" s="7"/>
      <c r="M16" s="7"/>
      <c r="N16" s="7"/>
      <c r="O16" s="7"/>
      <c r="P16" s="7"/>
      <c r="Q16" s="7"/>
      <c r="R16" s="7"/>
      <c r="S16" s="7"/>
      <c r="T16" s="7"/>
    </row>
    <row r="17" spans="1:20" x14ac:dyDescent="0.35">
      <c r="A17" s="7"/>
      <c r="B17" s="7"/>
      <c r="C17" s="7"/>
      <c r="D17" s="7"/>
      <c r="E17" s="7"/>
      <c r="F17" s="7"/>
      <c r="G17" s="7"/>
      <c r="H17" s="7"/>
      <c r="I17" s="7"/>
      <c r="J17" s="7"/>
      <c r="K17" s="7"/>
      <c r="L17" s="7"/>
      <c r="M17" s="7"/>
      <c r="N17" s="7"/>
      <c r="O17" s="7"/>
      <c r="P17" s="7"/>
      <c r="Q17" s="7"/>
      <c r="R17" s="7"/>
      <c r="S17" s="7"/>
      <c r="T17" s="7"/>
    </row>
    <row r="18" spans="1:20" x14ac:dyDescent="0.35">
      <c r="A18" s="7"/>
      <c r="B18" s="7"/>
      <c r="C18" s="7"/>
      <c r="D18" s="7"/>
      <c r="E18" s="7"/>
      <c r="F18" s="7"/>
      <c r="G18" s="7"/>
      <c r="H18" s="7"/>
      <c r="I18" s="7"/>
      <c r="J18" s="7"/>
      <c r="K18" s="7"/>
      <c r="L18" s="7"/>
      <c r="M18" s="7"/>
      <c r="N18" s="7"/>
      <c r="O18" s="7"/>
      <c r="P18" s="7"/>
      <c r="Q18" s="7"/>
      <c r="R18" s="7"/>
      <c r="S18" s="7"/>
      <c r="T18" s="7"/>
    </row>
    <row r="19" spans="1:20" x14ac:dyDescent="0.35">
      <c r="A19" s="7"/>
      <c r="B19" s="7"/>
      <c r="C19" s="7"/>
      <c r="D19" s="7"/>
      <c r="E19" s="7"/>
      <c r="F19" s="7"/>
      <c r="G19" s="7"/>
      <c r="H19" s="7"/>
      <c r="I19" s="7"/>
      <c r="J19" s="7"/>
      <c r="K19" s="7"/>
      <c r="L19" s="7"/>
      <c r="M19" s="7"/>
      <c r="N19" s="7"/>
      <c r="O19" s="7"/>
      <c r="P19" s="7"/>
      <c r="Q19" s="7"/>
      <c r="R19" s="7"/>
      <c r="S19" s="7"/>
      <c r="T19" s="7"/>
    </row>
    <row r="20" spans="1:20" x14ac:dyDescent="0.35">
      <c r="A20" s="7"/>
      <c r="B20" s="7"/>
      <c r="C20" s="7"/>
      <c r="D20" s="7"/>
      <c r="E20" s="7"/>
      <c r="F20" s="7"/>
      <c r="G20" s="7"/>
      <c r="H20" s="7"/>
      <c r="I20" s="7"/>
      <c r="J20" s="7"/>
      <c r="K20" s="7"/>
      <c r="L20" s="7"/>
      <c r="M20" s="7"/>
      <c r="N20" s="7"/>
      <c r="O20" s="7"/>
      <c r="P20" s="7"/>
      <c r="Q20" s="7"/>
      <c r="R20" s="7"/>
      <c r="S20" s="7"/>
      <c r="T20" s="7"/>
    </row>
    <row r="21" spans="1:20" x14ac:dyDescent="0.35">
      <c r="A21" s="7"/>
      <c r="B21" s="7"/>
      <c r="C21" s="7"/>
      <c r="D21" s="7"/>
      <c r="E21" s="7"/>
      <c r="F21" s="7"/>
      <c r="G21" s="7"/>
      <c r="H21" s="7"/>
      <c r="I21" s="7"/>
      <c r="J21" s="7"/>
      <c r="K21" s="7"/>
      <c r="L21" s="7"/>
      <c r="M21" s="7"/>
      <c r="N21" s="7"/>
      <c r="O21" s="7"/>
      <c r="P21" s="7"/>
      <c r="Q21" s="7"/>
      <c r="R21" s="7"/>
      <c r="S21" s="7"/>
      <c r="T21" s="7"/>
    </row>
    <row r="22" spans="1:20" x14ac:dyDescent="0.35">
      <c r="A22" s="7"/>
      <c r="B22" s="7"/>
      <c r="C22" s="7"/>
      <c r="D22" s="7"/>
      <c r="E22" s="7"/>
      <c r="F22" s="7"/>
      <c r="G22" s="7"/>
      <c r="H22" s="7"/>
      <c r="I22" s="7"/>
      <c r="J22" s="7"/>
      <c r="K22" s="7"/>
      <c r="L22" s="7"/>
      <c r="M22" s="7"/>
      <c r="N22" s="7"/>
      <c r="O22" s="7"/>
      <c r="P22" s="7"/>
      <c r="Q22" s="7"/>
      <c r="R22" s="7"/>
      <c r="S22" s="7"/>
      <c r="T22" s="7"/>
    </row>
    <row r="23" spans="1:20" x14ac:dyDescent="0.35">
      <c r="A23" s="7"/>
      <c r="B23" s="7"/>
      <c r="C23" s="7"/>
      <c r="D23" s="7"/>
      <c r="E23" s="7"/>
      <c r="F23" s="7"/>
      <c r="G23" s="7"/>
      <c r="H23" s="7"/>
      <c r="I23" s="7"/>
      <c r="J23" s="7"/>
      <c r="K23" s="7"/>
      <c r="L23" s="7"/>
      <c r="M23" s="7"/>
      <c r="N23" s="7"/>
      <c r="O23" s="7"/>
      <c r="P23" s="7"/>
      <c r="Q23" s="7"/>
      <c r="R23" s="7"/>
      <c r="S23" s="7"/>
      <c r="T23" s="7"/>
    </row>
    <row r="24" spans="1:20" x14ac:dyDescent="0.35">
      <c r="A24" s="7"/>
      <c r="B24" s="7"/>
      <c r="C24" s="7"/>
      <c r="D24" s="7"/>
      <c r="E24" s="7"/>
      <c r="F24" s="7"/>
      <c r="G24" s="7"/>
      <c r="H24" s="7"/>
      <c r="I24" s="7"/>
      <c r="J24" s="7"/>
      <c r="K24" s="7"/>
      <c r="L24" s="7"/>
      <c r="M24" s="7"/>
      <c r="N24" s="7"/>
      <c r="O24" s="7"/>
      <c r="P24" s="7"/>
      <c r="Q24" s="7"/>
      <c r="R24" s="7"/>
      <c r="S24" s="7"/>
      <c r="T24"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CABE52D-A228-45D6-A5FE-90DCC744226C}">
  <ds:schemaRefs/>
</ds:datastoreItem>
</file>

<file path=customXml/itemProps2.xml><?xml version="1.0" encoding="utf-8"?>
<ds:datastoreItem xmlns:ds="http://schemas.openxmlformats.org/officeDocument/2006/customXml" ds:itemID="{1CEFC2C5-BB48-4F8E-8215-484E73128D9C}">
  <ds:schemaRefs/>
</ds:datastoreItem>
</file>

<file path=customXml/itemProps3.xml><?xml version="1.0" encoding="utf-8"?>
<ds:datastoreItem xmlns:ds="http://schemas.openxmlformats.org/officeDocument/2006/customXml" ds:itemID="{3D584B6B-8A72-4561-84EF-E1C600EE674E}">
  <ds:schemaRefs/>
</ds:datastoreItem>
</file>

<file path=customXml/itemProps4.xml><?xml version="1.0" encoding="utf-8"?>
<ds:datastoreItem xmlns:ds="http://schemas.openxmlformats.org/officeDocument/2006/customXml" ds:itemID="{5526565C-6DAF-475A-9F7C-378683982258}">
  <ds:schemaRefs/>
</ds:datastoreItem>
</file>

<file path=customXml/itemProps5.xml><?xml version="1.0" encoding="utf-8"?>
<ds:datastoreItem xmlns:ds="http://schemas.openxmlformats.org/officeDocument/2006/customXml" ds:itemID="{C568999D-F3C2-45A3-AD06-5F637CBFD02C}">
  <ds:schemaRefs/>
</ds:datastoreItem>
</file>

<file path=customXml/itemProps6.xml><?xml version="1.0" encoding="utf-8"?>
<ds:datastoreItem xmlns:ds="http://schemas.openxmlformats.org/officeDocument/2006/customXml" ds:itemID="{D1596316-B1E9-4D43-BCEE-831FC688E1D0}">
  <ds:schemaRefs/>
</ds:datastoreItem>
</file>

<file path=customXml/itemProps7.xml><?xml version="1.0" encoding="utf-8"?>
<ds:datastoreItem xmlns:ds="http://schemas.openxmlformats.org/officeDocument/2006/customXml" ds:itemID="{77B53FBA-8246-4518-BFC3-B3342AC631CE}">
  <ds:schemaRefs>
    <ds:schemaRef ds:uri="http://schemas.microsoft.com/DataMashup"/>
  </ds:schemaRefs>
</ds:datastoreItem>
</file>

<file path=customXml/itemProps8.xml><?xml version="1.0" encoding="utf-8"?>
<ds:datastoreItem xmlns:ds="http://schemas.openxmlformats.org/officeDocument/2006/customXml" ds:itemID="{0D9DC387-2226-4253-8513-BEB55ADE3FCE}">
  <ds:schemaRefs/>
</ds:datastoreItem>
</file>

<file path=customXml/itemProps9.xml><?xml version="1.0" encoding="utf-8"?>
<ds:datastoreItem xmlns:ds="http://schemas.openxmlformats.org/officeDocument/2006/customXml" ds:itemID="{5B6FCDB9-B253-4D7D-919F-978ACB787D1B}">
  <ds:schemaRefs/>
</ds:datastoreItem>
</file>

<file path=customXml/itemProps10.xml><?xml version="1.0" encoding="utf-8"?>
<ds:datastoreItem xmlns:ds="http://schemas.openxmlformats.org/officeDocument/2006/customXml" ds:itemID="{B1A10887-7946-4CE0-AD49-A6EB6BAA2EBA}">
  <ds:schemaRefs/>
</ds:datastoreItem>
</file>

<file path=customXml/itemProps11.xml><?xml version="1.0" encoding="utf-8"?>
<ds:datastoreItem xmlns:ds="http://schemas.openxmlformats.org/officeDocument/2006/customXml" ds:itemID="{40A9EAE3-35B5-4CF0-BBE9-70637BE3EE67}">
  <ds:schemaRefs/>
</ds:datastoreItem>
</file>

<file path=customXml/itemProps12.xml><?xml version="1.0" encoding="utf-8"?>
<ds:datastoreItem xmlns:ds="http://schemas.openxmlformats.org/officeDocument/2006/customXml" ds:itemID="{13F53842-8087-4331-9F55-FD53983E2857}">
  <ds:schemaRefs/>
</ds:datastoreItem>
</file>

<file path=customXml/itemProps13.xml><?xml version="1.0" encoding="utf-8"?>
<ds:datastoreItem xmlns:ds="http://schemas.openxmlformats.org/officeDocument/2006/customXml" ds:itemID="{91C71262-880E-4AE6-866F-45AEC8369D4F}">
  <ds:schemaRefs/>
</ds:datastoreItem>
</file>

<file path=customXml/itemProps14.xml><?xml version="1.0" encoding="utf-8"?>
<ds:datastoreItem xmlns:ds="http://schemas.openxmlformats.org/officeDocument/2006/customXml" ds:itemID="{956AB39E-59AE-417B-B3A4-E85FBBFEBECC}">
  <ds:schemaRefs/>
</ds:datastoreItem>
</file>

<file path=customXml/itemProps15.xml><?xml version="1.0" encoding="utf-8"?>
<ds:datastoreItem xmlns:ds="http://schemas.openxmlformats.org/officeDocument/2006/customXml" ds:itemID="{788FB661-2EA4-4113-B959-721E77A42A17}">
  <ds:schemaRefs/>
</ds:datastoreItem>
</file>

<file path=customXml/itemProps16.xml><?xml version="1.0" encoding="utf-8"?>
<ds:datastoreItem xmlns:ds="http://schemas.openxmlformats.org/officeDocument/2006/customXml" ds:itemID="{504FF6AF-5008-40AE-A450-AA1B78F4FD31}">
  <ds:schemaRefs/>
</ds:datastoreItem>
</file>

<file path=customXml/itemProps17.xml><?xml version="1.0" encoding="utf-8"?>
<ds:datastoreItem xmlns:ds="http://schemas.openxmlformats.org/officeDocument/2006/customXml" ds:itemID="{53B0FEDF-4B51-4FA7-BC42-E5871E963B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 Dhawalkar</dc:creator>
  <cp:lastModifiedBy>Upendra Dhawalkar</cp:lastModifiedBy>
  <dcterms:created xsi:type="dcterms:W3CDTF">2026-02-08T10:33:22Z</dcterms:created>
  <dcterms:modified xsi:type="dcterms:W3CDTF">2026-02-09T17:00:51Z</dcterms:modified>
</cp:coreProperties>
</file>